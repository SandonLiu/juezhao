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527" codeName="{564CA151-5A5B-428A-3C10-77597649240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10.0.52.28\Atoms3店舗\99.WORK\ベース\999_個人\劉\③調査\evidence\着手中 (1)\bak\"/>
    </mc:Choice>
  </mc:AlternateContent>
  <xr:revisionPtr revIDLastSave="0" documentId="13_ncr:1_{7C9DEF83-1DEB-470D-8DB2-DA625EF1664E}" xr6:coauthVersionLast="45" xr6:coauthVersionMax="45" xr10:uidLastSave="{00000000-0000-0000-0000-000000000000}"/>
  <bookViews>
    <workbookView xWindow="-108" yWindow="-108" windowWidth="23256" windowHeight="14160" tabRatio="774" xr2:uid="{00000000-000D-0000-FFFF-FFFF00000000}"/>
  </bookViews>
  <sheets>
    <sheet name="変更履歴" sheetId="42" r:id="rId1"/>
    <sheet name="計画" sheetId="39" state="hidden" r:id="rId2"/>
    <sheet name="帳票_処理状況照会" sheetId="41" r:id="rId3"/>
    <sheet name="在庫 (2)" sheetId="40" state="hidden" r:id="rId4"/>
    <sheet name="サンプル" sheetId="37" state="hidden" r:id="rId5"/>
    <sheet name="テストシナリオ機能対応表" sheetId="43" r:id="rId6"/>
  </sheets>
  <definedNames>
    <definedName name="_xlnm.Print_Area" localSheetId="2">帳票_処理状況照会!$A$1:$AI$15</definedName>
    <definedName name="_xlnm.Print_Titles" localSheetId="4">サンプル!$1:$5</definedName>
    <definedName name="_xlnm.Print_Titles" localSheetId="3">'在庫 (2)'!$1:$5</definedName>
    <definedName name="_xlnm.Print_Titles" localSheetId="2">帳票_処理状況照会!$1:$7</definedName>
    <definedName name="_xlnm.Print_Titles" localSheetId="0">変更履歴!$1:$5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" i="42" l="1" a="1"/>
  <c r="B1" i="42" s="1"/>
  <c r="H3" i="41" s="1"/>
  <c r="D7" i="43" l="1"/>
  <c r="C7" i="43" l="1"/>
  <c r="U10" i="39" l="1"/>
  <c r="W10" i="39" s="1"/>
  <c r="Y10" i="39" s="1"/>
  <c r="AA10" i="39" s="1"/>
  <c r="AC10" i="39" s="1"/>
  <c r="AE10" i="39" s="1"/>
  <c r="AG10" i="39" s="1"/>
  <c r="AI10" i="39" s="1"/>
  <c r="AK10" i="39" s="1"/>
  <c r="AM10" i="39" s="1"/>
  <c r="AO10" i="39" s="1"/>
  <c r="AQ10" i="39" s="1"/>
  <c r="AS10" i="39" s="1"/>
  <c r="AU10" i="39" s="1"/>
  <c r="AW10" i="39" s="1"/>
  <c r="AF3" i="37"/>
  <c r="AD3" i="3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<sst xmlns="http://schemas.openxmlformats.org/spreadsheetml/2006/main" count="158" uniqueCount="95">
  <si>
    <t>システム名</t>
    <rPh sb="4" eb="5">
      <t>メイ</t>
    </rPh>
    <phoneticPr fontId="3"/>
  </si>
  <si>
    <t>サブシステム名</t>
    <rPh sb="6" eb="7">
      <t>メイ</t>
    </rPh>
    <phoneticPr fontId="3"/>
  </si>
  <si>
    <t>作成会社</t>
    <rPh sb="0" eb="2">
      <t>サクセイ</t>
    </rPh>
    <rPh sb="2" eb="4">
      <t>カイシャ</t>
    </rPh>
    <phoneticPr fontId="3"/>
  </si>
  <si>
    <t>確認</t>
    <rPh sb="0" eb="2">
      <t>カクニン</t>
    </rPh>
    <phoneticPr fontId="3"/>
  </si>
  <si>
    <t>作成者</t>
    <rPh sb="0" eb="3">
      <t>サクセイシャ</t>
    </rPh>
    <phoneticPr fontId="3"/>
  </si>
  <si>
    <t>シナリオ</t>
    <phoneticPr fontId="3"/>
  </si>
  <si>
    <t>業務ﾌﾛｰ</t>
    <rPh sb="0" eb="2">
      <t>ギョウム</t>
    </rPh>
    <phoneticPr fontId="3"/>
  </si>
  <si>
    <t>3-12</t>
    <phoneticPr fontId="3"/>
  </si>
  <si>
    <t>受注新規→出荷依頼→出荷依頼取消→受注変更→出荷依頼→出荷確認→売上計上</t>
    <rPh sb="0" eb="2">
      <t>ジュチュウ</t>
    </rPh>
    <rPh sb="2" eb="4">
      <t>シンキ</t>
    </rPh>
    <rPh sb="5" eb="7">
      <t>シュッカ</t>
    </rPh>
    <rPh sb="7" eb="9">
      <t>イライ</t>
    </rPh>
    <rPh sb="10" eb="12">
      <t>シュッカ</t>
    </rPh>
    <rPh sb="12" eb="14">
      <t>イライ</t>
    </rPh>
    <rPh sb="14" eb="16">
      <t>トリケシ</t>
    </rPh>
    <rPh sb="17" eb="19">
      <t>ジュチュウ</t>
    </rPh>
    <rPh sb="19" eb="21">
      <t>ヘンコウ</t>
    </rPh>
    <rPh sb="22" eb="24">
      <t>シュッカ</t>
    </rPh>
    <rPh sb="24" eb="26">
      <t>イライ</t>
    </rPh>
    <rPh sb="27" eb="29">
      <t>シュッカ</t>
    </rPh>
    <rPh sb="29" eb="31">
      <t>カクニン</t>
    </rPh>
    <rPh sb="32" eb="34">
      <t>ウリア</t>
    </rPh>
    <rPh sb="34" eb="36">
      <t>ケイジョウ</t>
    </rPh>
    <phoneticPr fontId="3"/>
  </si>
  <si>
    <t>試験の流れ</t>
    <rPh sb="0" eb="2">
      <t>シケン</t>
    </rPh>
    <rPh sb="3" eb="4">
      <t>ナガ</t>
    </rPh>
    <phoneticPr fontId="3"/>
  </si>
  <si>
    <t>確認者</t>
    <rPh sb="0" eb="2">
      <t>カクニン</t>
    </rPh>
    <rPh sb="2" eb="3">
      <t>シャ</t>
    </rPh>
    <phoneticPr fontId="3"/>
  </si>
  <si>
    <t>1-1 新規の受注を入力し、受注伝票と注文請書を印刷する。</t>
    <rPh sb="4" eb="6">
      <t>シンキ</t>
    </rPh>
    <rPh sb="7" eb="9">
      <t>ジュチュウ</t>
    </rPh>
    <rPh sb="10" eb="12">
      <t>ニュウリョク</t>
    </rPh>
    <rPh sb="14" eb="16">
      <t>ジュチュウ</t>
    </rPh>
    <rPh sb="16" eb="18">
      <t>デンピョウ</t>
    </rPh>
    <rPh sb="19" eb="21">
      <t>チュウモン</t>
    </rPh>
    <rPh sb="21" eb="23">
      <t>ウケショ</t>
    </rPh>
    <rPh sb="24" eb="26">
      <t>インサツ</t>
    </rPh>
    <phoneticPr fontId="3"/>
  </si>
  <si>
    <t>1-2 在庫がある商品を受注入力し、在庫引当されることを確認する。</t>
    <rPh sb="4" eb="6">
      <t>ザイコ</t>
    </rPh>
    <rPh sb="9" eb="11">
      <t>ショウヒン</t>
    </rPh>
    <rPh sb="12" eb="14">
      <t>ジュチュウ</t>
    </rPh>
    <rPh sb="14" eb="16">
      <t>ニュウリョク</t>
    </rPh>
    <rPh sb="18" eb="20">
      <t>ザイコ</t>
    </rPh>
    <rPh sb="20" eb="22">
      <t>ヒキアテ</t>
    </rPh>
    <rPh sb="28" eb="30">
      <t>カクニン</t>
    </rPh>
    <phoneticPr fontId="3"/>
  </si>
  <si>
    <t>1-3 受注の更新と同時に、出荷依頼書が倉庫に出力される。</t>
    <rPh sb="4" eb="6">
      <t>ジュチュウ</t>
    </rPh>
    <rPh sb="7" eb="9">
      <t>コウシン</t>
    </rPh>
    <rPh sb="10" eb="12">
      <t>ドウジ</t>
    </rPh>
    <rPh sb="14" eb="16">
      <t>シュッカ</t>
    </rPh>
    <rPh sb="16" eb="19">
      <t>イライショ</t>
    </rPh>
    <rPh sb="20" eb="22">
      <t>ソウコ</t>
    </rPh>
    <rPh sb="23" eb="25">
      <t>シュツリョク</t>
    </rPh>
    <phoneticPr fontId="3"/>
  </si>
  <si>
    <t>1-4 出荷依頼を取り消してから、受注の数量変更を行えることを確認。</t>
    <rPh sb="4" eb="6">
      <t>シュッカ</t>
    </rPh>
    <rPh sb="6" eb="8">
      <t>イライ</t>
    </rPh>
    <rPh sb="9" eb="10">
      <t>ト</t>
    </rPh>
    <rPh sb="11" eb="12">
      <t>ケ</t>
    </rPh>
    <rPh sb="17" eb="19">
      <t>ジュチュウ</t>
    </rPh>
    <rPh sb="20" eb="22">
      <t>スウリョウ</t>
    </rPh>
    <rPh sb="22" eb="24">
      <t>ヘンコウ</t>
    </rPh>
    <rPh sb="25" eb="26">
      <t>オコナ</t>
    </rPh>
    <rPh sb="31" eb="33">
      <t>カクニン</t>
    </rPh>
    <phoneticPr fontId="3"/>
  </si>
  <si>
    <t>1-5 受注の変更により、在庫引当数の変更や出荷依頼書の再出力が行われることを確認。</t>
    <rPh sb="4" eb="6">
      <t>ジュチュウ</t>
    </rPh>
    <rPh sb="7" eb="9">
      <t>ヘンコウ</t>
    </rPh>
    <rPh sb="13" eb="15">
      <t>ザイコ</t>
    </rPh>
    <rPh sb="15" eb="17">
      <t>ヒキアテ</t>
    </rPh>
    <rPh sb="17" eb="18">
      <t>スウ</t>
    </rPh>
    <rPh sb="19" eb="21">
      <t>ヘンコウ</t>
    </rPh>
    <rPh sb="22" eb="24">
      <t>シュッカ</t>
    </rPh>
    <rPh sb="24" eb="27">
      <t>イライショ</t>
    </rPh>
    <rPh sb="28" eb="31">
      <t>サイシュツリョク</t>
    </rPh>
    <rPh sb="32" eb="33">
      <t>オコナ</t>
    </rPh>
    <rPh sb="39" eb="41">
      <t>カクニン</t>
    </rPh>
    <phoneticPr fontId="3"/>
  </si>
  <si>
    <t>1-6 出荷依頼された商品が全数品揃えされ、全数出荷確認できる。</t>
    <rPh sb="4" eb="6">
      <t>シュッカ</t>
    </rPh>
    <rPh sb="6" eb="8">
      <t>イライ</t>
    </rPh>
    <rPh sb="11" eb="13">
      <t>ショウヒン</t>
    </rPh>
    <rPh sb="14" eb="16">
      <t>ゼンスウ</t>
    </rPh>
    <rPh sb="16" eb="18">
      <t>シナゾロ</t>
    </rPh>
    <rPh sb="22" eb="24">
      <t>ゼンスウ</t>
    </rPh>
    <rPh sb="24" eb="26">
      <t>シュッカ</t>
    </rPh>
    <rPh sb="26" eb="28">
      <t>カクニン</t>
    </rPh>
    <phoneticPr fontId="3"/>
  </si>
  <si>
    <t>1-7 出荷確認入力により自動的に売上計上され、売上データが作成される。</t>
    <rPh sb="4" eb="6">
      <t>シュッカ</t>
    </rPh>
    <rPh sb="6" eb="8">
      <t>カクニン</t>
    </rPh>
    <rPh sb="8" eb="10">
      <t>ニュウリョク</t>
    </rPh>
    <rPh sb="13" eb="16">
      <t>ジドウテキ</t>
    </rPh>
    <rPh sb="17" eb="19">
      <t>ウリア</t>
    </rPh>
    <rPh sb="19" eb="21">
      <t>ケイジョウ</t>
    </rPh>
    <rPh sb="24" eb="26">
      <t>ウリアゲ</t>
    </rPh>
    <rPh sb="30" eb="32">
      <t>サクセイ</t>
    </rPh>
    <phoneticPr fontId="3"/>
  </si>
  <si>
    <t>テストシナリオ</t>
    <phoneticPr fontId="3"/>
  </si>
  <si>
    <t>出荷依頼の取消＆受注変更</t>
    <phoneticPr fontId="3"/>
  </si>
  <si>
    <t>シナリオ№</t>
    <phoneticPr fontId="3"/>
  </si>
  <si>
    <t>Atoms店舗 ＩＦＲＳ対応</t>
    <rPh sb="5" eb="7">
      <t>テンポ</t>
    </rPh>
    <rPh sb="12" eb="14">
      <t>タイオウ</t>
    </rPh>
    <phoneticPr fontId="3"/>
  </si>
  <si>
    <t>発注</t>
    <rPh sb="0" eb="2">
      <t>ハッチュウ</t>
    </rPh>
    <phoneticPr fontId="3"/>
  </si>
  <si>
    <t>H-001</t>
    <phoneticPr fontId="3"/>
  </si>
  <si>
    <t>更新日</t>
    <rPh sb="0" eb="3">
      <t>コウシンビ</t>
    </rPh>
    <phoneticPr fontId="3"/>
  </si>
  <si>
    <t>担当者</t>
    <rPh sb="0" eb="3">
      <t>タントウシャ</t>
    </rPh>
    <phoneticPr fontId="3"/>
  </si>
  <si>
    <t>SMG</t>
    <phoneticPr fontId="3"/>
  </si>
  <si>
    <t>実施テストの流れ</t>
    <rPh sb="0" eb="2">
      <t>ジッシ</t>
    </rPh>
    <rPh sb="6" eb="7">
      <t>ナガ</t>
    </rPh>
    <phoneticPr fontId="3"/>
  </si>
  <si>
    <t>商品マスタメンテ</t>
  </si>
  <si>
    <t>備考</t>
    <rPh sb="0" eb="2">
      <t>ビコウ</t>
    </rPh>
    <phoneticPr fontId="3"/>
  </si>
  <si>
    <t>確認日</t>
    <rPh sb="0" eb="2">
      <t>カクニン</t>
    </rPh>
    <rPh sb="2" eb="3">
      <t>ヒ</t>
    </rPh>
    <phoneticPr fontId="3"/>
  </si>
  <si>
    <t>作成日・作成者</t>
    <rPh sb="0" eb="3">
      <t>サクセイビ</t>
    </rPh>
    <rPh sb="4" eb="7">
      <t>サクセイシャ</t>
    </rPh>
    <phoneticPr fontId="3"/>
  </si>
  <si>
    <t>Atoms店舗</t>
  </si>
  <si>
    <t>最終更新日・最終更新者</t>
    <rPh sb="0" eb="2">
      <t>サイシュウ</t>
    </rPh>
    <rPh sb="2" eb="5">
      <t>コウシンビ</t>
    </rPh>
    <rPh sb="6" eb="8">
      <t>サイシュウ</t>
    </rPh>
    <rPh sb="8" eb="11">
      <t>コウシンシャ</t>
    </rPh>
    <phoneticPr fontId="3"/>
  </si>
  <si>
    <t>ＩＦＲＳ対応</t>
    <rPh sb="4" eb="6">
      <t>タイオウ</t>
    </rPh>
    <phoneticPr fontId="3"/>
  </si>
  <si>
    <t>　２０１３年４月本稼動分　内部結合テストシナリオ計画（案）</t>
    <rPh sb="5" eb="6">
      <t>ネン</t>
    </rPh>
    <rPh sb="7" eb="8">
      <t>ガツ</t>
    </rPh>
    <rPh sb="8" eb="9">
      <t>ホン</t>
    </rPh>
    <rPh sb="9" eb="11">
      <t>カドウ</t>
    </rPh>
    <rPh sb="11" eb="12">
      <t>ブン</t>
    </rPh>
    <rPh sb="13" eb="15">
      <t>ナイブ</t>
    </rPh>
    <rPh sb="15" eb="17">
      <t>ケツゴウ</t>
    </rPh>
    <rPh sb="24" eb="26">
      <t>ケイカク</t>
    </rPh>
    <rPh sb="27" eb="28">
      <t>アン</t>
    </rPh>
    <phoneticPr fontId="3"/>
  </si>
  <si>
    <t>2012/09/03　ＳＭＧ進藤</t>
    <rPh sb="14" eb="16">
      <t>シンドウ</t>
    </rPh>
    <phoneticPr fontId="3"/>
  </si>
  <si>
    <t>期中</t>
    <rPh sb="0" eb="2">
      <t>キチュウ</t>
    </rPh>
    <phoneticPr fontId="3"/>
  </si>
  <si>
    <t>仮締め期間</t>
    <rPh sb="0" eb="1">
      <t>カリ</t>
    </rPh>
    <rPh sb="1" eb="2">
      <t>ジ</t>
    </rPh>
    <rPh sb="3" eb="5">
      <t>キカン</t>
    </rPh>
    <phoneticPr fontId="3"/>
  </si>
  <si>
    <t>データ締め日</t>
    <rPh sb="3" eb="4">
      <t>シ</t>
    </rPh>
    <rPh sb="5" eb="6">
      <t>ビ</t>
    </rPh>
    <phoneticPr fontId="3"/>
  </si>
  <si>
    <t>期中（データ締め後）</t>
    <rPh sb="0" eb="2">
      <t>キチュウ</t>
    </rPh>
    <rPh sb="6" eb="7">
      <t>シ</t>
    </rPh>
    <rPh sb="8" eb="9">
      <t>ゴ</t>
    </rPh>
    <phoneticPr fontId="3"/>
  </si>
  <si>
    <t>棚卸確定</t>
    <rPh sb="0" eb="2">
      <t>タナオロシ</t>
    </rPh>
    <rPh sb="2" eb="4">
      <t>カクテイ</t>
    </rPh>
    <phoneticPr fontId="3"/>
  </si>
  <si>
    <t>棚卸期間中</t>
    <rPh sb="0" eb="2">
      <t>タナオロシ</t>
    </rPh>
    <rPh sb="2" eb="5">
      <t>キカンチュウ</t>
    </rPh>
    <phoneticPr fontId="3"/>
  </si>
  <si>
    <t>前月計上処理</t>
    <rPh sb="0" eb="2">
      <t>ゼンゲツ</t>
    </rPh>
    <rPh sb="2" eb="4">
      <t>ケイジョウ</t>
    </rPh>
    <rPh sb="4" eb="6">
      <t>ショリ</t>
    </rPh>
    <phoneticPr fontId="3"/>
  </si>
  <si>
    <t>在庫照会</t>
    <rPh sb="0" eb="2">
      <t>ザイコ</t>
    </rPh>
    <rPh sb="2" eb="4">
      <t>ショウカイ</t>
    </rPh>
    <phoneticPr fontId="3"/>
  </si>
  <si>
    <t>売上締め処理</t>
    <rPh sb="0" eb="2">
      <t>ウリアゲ</t>
    </rPh>
    <rPh sb="2" eb="3">
      <t>シ</t>
    </rPh>
    <rPh sb="4" eb="6">
      <t>ショリ</t>
    </rPh>
    <phoneticPr fontId="3"/>
  </si>
  <si>
    <t>商品出納張、単価相違リスト</t>
  </si>
  <si>
    <t>・通常の期中での確認</t>
    <rPh sb="1" eb="3">
      <t>ツウジョウ</t>
    </rPh>
    <rPh sb="4" eb="6">
      <t>キチュウ</t>
    </rPh>
    <rPh sb="8" eb="10">
      <t>カクニン</t>
    </rPh>
    <phoneticPr fontId="3"/>
  </si>
  <si>
    <t>・実棚卸に重点を置いた確認</t>
    <rPh sb="1" eb="2">
      <t>ジツ</t>
    </rPh>
    <rPh sb="2" eb="4">
      <t>タナオロシ</t>
    </rPh>
    <rPh sb="5" eb="7">
      <t>ジュウテン</t>
    </rPh>
    <rPh sb="8" eb="9">
      <t>オ</t>
    </rPh>
    <rPh sb="11" eb="13">
      <t>カクニン</t>
    </rPh>
    <phoneticPr fontId="3"/>
  </si>
  <si>
    <t>棚卸入力</t>
  </si>
  <si>
    <t>受払（棚卸差異）</t>
    <rPh sb="0" eb="1">
      <t>ウケ</t>
    </rPh>
    <rPh sb="1" eb="2">
      <t>バライ</t>
    </rPh>
    <rPh sb="3" eb="5">
      <t>タナオロシ</t>
    </rPh>
    <rPh sb="5" eb="7">
      <t>サイ</t>
    </rPh>
    <phoneticPr fontId="3"/>
  </si>
  <si>
    <t>棚卸確定明細リスト</t>
  </si>
  <si>
    <t>随時帳票（販売実績）</t>
    <rPh sb="0" eb="2">
      <t>ズイジ</t>
    </rPh>
    <rPh sb="2" eb="4">
      <t>チョウヒョウ</t>
    </rPh>
    <rPh sb="5" eb="7">
      <t>ハンバイ</t>
    </rPh>
    <rPh sb="7" eb="9">
      <t>ジッセキ</t>
    </rPh>
    <phoneticPr fontId="3"/>
  </si>
  <si>
    <t>管理月報、管理年報、部門別月別実績管理表</t>
    <phoneticPr fontId="3"/>
  </si>
  <si>
    <t>棚卸差異確認（画面／帳票）</t>
    <rPh sb="7" eb="9">
      <t>ガメン</t>
    </rPh>
    <rPh sb="10" eb="12">
      <t>チョウヒョウ</t>
    </rPh>
    <phoneticPr fontId="3"/>
  </si>
  <si>
    <t>在庫</t>
    <rPh sb="0" eb="2">
      <t>ザイコ</t>
    </rPh>
    <phoneticPr fontId="3"/>
  </si>
  <si>
    <t>使用環境</t>
    <rPh sb="0" eb="2">
      <t>シヨウ</t>
    </rPh>
    <rPh sb="2" eb="4">
      <t>カンキョウ</t>
    </rPh>
    <phoneticPr fontId="3"/>
  </si>
  <si>
    <t>期中（データ締め後）</t>
    <phoneticPr fontId="3"/>
  </si>
  <si>
    <t>2012/11/5　ＳＭＧ進藤</t>
    <rPh sb="13" eb="15">
      <t>シンドウ</t>
    </rPh>
    <phoneticPr fontId="3"/>
  </si>
  <si>
    <t>月末</t>
    <phoneticPr fontId="3"/>
  </si>
  <si>
    <t>2012/11/6　ＳＭＧ進藤</t>
    <rPh sb="13" eb="15">
      <t>シンドウ</t>
    </rPh>
    <phoneticPr fontId="3"/>
  </si>
  <si>
    <t>Z-003</t>
    <phoneticPr fontId="3"/>
  </si>
  <si>
    <t>Z-004</t>
    <phoneticPr fontId="3"/>
  </si>
  <si>
    <t>Z-005</t>
    <phoneticPr fontId="3"/>
  </si>
  <si>
    <t>仮締め期間中</t>
    <rPh sb="0" eb="1">
      <t>カリ</t>
    </rPh>
    <rPh sb="1" eb="2">
      <t>シ</t>
    </rPh>
    <rPh sb="3" eb="6">
      <t>キカンチュウ</t>
    </rPh>
    <phoneticPr fontId="3"/>
  </si>
  <si>
    <t>SMG</t>
  </si>
  <si>
    <t>新規作成</t>
    <rPh sb="0" eb="2">
      <t>シンキ</t>
    </rPh>
    <rPh sb="2" eb="4">
      <t>サクセイ</t>
    </rPh>
    <phoneticPr fontId="3"/>
  </si>
  <si>
    <t>変更理由</t>
    <rPh sb="0" eb="2">
      <t>ヘンコウ</t>
    </rPh>
    <rPh sb="2" eb="4">
      <t>リユウ</t>
    </rPh>
    <phoneticPr fontId="3"/>
  </si>
  <si>
    <t>変更内容</t>
    <rPh sb="0" eb="2">
      <t>ヘンコウ</t>
    </rPh>
    <rPh sb="2" eb="4">
      <t>ナイヨウ</t>
    </rPh>
    <phoneticPr fontId="3"/>
  </si>
  <si>
    <t>変更箇所</t>
    <rPh sb="0" eb="2">
      <t>ヘンコウ</t>
    </rPh>
    <rPh sb="2" eb="4">
      <t>カショ</t>
    </rPh>
    <phoneticPr fontId="3"/>
  </si>
  <si>
    <t>更新者</t>
    <rPh sb="0" eb="3">
      <t>コウシンシャ</t>
    </rPh>
    <phoneticPr fontId="3"/>
  </si>
  <si>
    <t>更新日</t>
    <rPh sb="0" eb="2">
      <t>コウシン</t>
    </rPh>
    <rPh sb="2" eb="3">
      <t>ビ</t>
    </rPh>
    <phoneticPr fontId="3"/>
  </si>
  <si>
    <t>NO</t>
    <phoneticPr fontId="3"/>
  </si>
  <si>
    <t>変更履歴</t>
    <phoneticPr fontId="3"/>
  </si>
  <si>
    <t>開始</t>
    <rPh sb="0" eb="2">
      <t>カイシ</t>
    </rPh>
    <phoneticPr fontId="3"/>
  </si>
  <si>
    <t>終了</t>
    <rPh sb="0" eb="2">
      <t>シュウリョウ</t>
    </rPh>
    <phoneticPr fontId="3"/>
  </si>
  <si>
    <t>計画</t>
    <rPh sb="0" eb="2">
      <t>ケイカク</t>
    </rPh>
    <phoneticPr fontId="3"/>
  </si>
  <si>
    <t>実績</t>
    <rPh sb="0" eb="2">
      <t>ジッセキ</t>
    </rPh>
    <phoneticPr fontId="3"/>
  </si>
  <si>
    <t>テスト仕様書</t>
    <rPh sb="3" eb="5">
      <t>シヨウ</t>
    </rPh>
    <rPh sb="5" eb="6">
      <t>ショ</t>
    </rPh>
    <phoneticPr fontId="3"/>
  </si>
  <si>
    <t>代表コード単品化</t>
    <phoneticPr fontId="3"/>
  </si>
  <si>
    <t>①店舗単品化した商品を棚卸対象として前月／当月の在庫情報を確認する。</t>
    <phoneticPr fontId="3"/>
  </si>
  <si>
    <t>管理月報
①前月／当月を確認する。</t>
    <rPh sb="0" eb="2">
      <t>カンリ</t>
    </rPh>
    <rPh sb="2" eb="4">
      <t>ゲッポウ</t>
    </rPh>
    <rPh sb="6" eb="8">
      <t>ゼンゲツ</t>
    </rPh>
    <rPh sb="9" eb="11">
      <t>トウゲツ</t>
    </rPh>
    <rPh sb="12" eb="14">
      <t>カクニン</t>
    </rPh>
    <phoneticPr fontId="3"/>
  </si>
  <si>
    <t>前月計上分
①前月計上処理：納品書入力による移動平均単価の変動を確認する。</t>
    <rPh sb="14" eb="17">
      <t>ノウヒンショ</t>
    </rPh>
    <rPh sb="17" eb="19">
      <t>ニュウリョク</t>
    </rPh>
    <phoneticPr fontId="3"/>
  </si>
  <si>
    <t>テスト、確認結果は結合テスト仕様書を参照。</t>
    <rPh sb="9" eb="11">
      <t>ケツゴウ</t>
    </rPh>
    <rPh sb="14" eb="17">
      <t>シヨウショ</t>
    </rPh>
    <phoneticPr fontId="3"/>
  </si>
  <si>
    <r>
      <t>N</t>
    </r>
    <r>
      <rPr>
        <sz val="11"/>
        <rFont val="ＭＳ Ｐゴシック"/>
        <family val="3"/>
        <charset val="128"/>
      </rPr>
      <t>o</t>
    </r>
    <phoneticPr fontId="3"/>
  </si>
  <si>
    <t>機能名称</t>
    <rPh sb="0" eb="2">
      <t>キノウ</t>
    </rPh>
    <rPh sb="2" eb="4">
      <t>メイショウ</t>
    </rPh>
    <phoneticPr fontId="3"/>
  </si>
  <si>
    <t>画面</t>
    <rPh sb="0" eb="2">
      <t>ガメン</t>
    </rPh>
    <phoneticPr fontId="3"/>
  </si>
  <si>
    <t>機能ＩＤ</t>
    <rPh sb="0" eb="2">
      <t>キノウ</t>
    </rPh>
    <phoneticPr fontId="3"/>
  </si>
  <si>
    <t>区分</t>
    <rPh sb="0" eb="2">
      <t>クブン</t>
    </rPh>
    <phoneticPr fontId="3"/>
  </si>
  <si>
    <t>BASE</t>
    <phoneticPr fontId="3"/>
  </si>
  <si>
    <t>〇</t>
    <phoneticPr fontId="3"/>
  </si>
  <si>
    <t>AtomsⅢ</t>
    <phoneticPr fontId="3"/>
  </si>
  <si>
    <t>U-004</t>
    <phoneticPr fontId="3"/>
  </si>
  <si>
    <t>処理確認</t>
    <rPh sb="0" eb="2">
      <t>ショリ</t>
    </rPh>
    <rPh sb="2" eb="4">
      <t>カクニン</t>
    </rPh>
    <phoneticPr fontId="3"/>
  </si>
  <si>
    <t>各種LBCの処理を含む全メソッドの現新比較
※画面に残る項目は画面のエビデンス取得、画面に残らない項目はログ出力にてセンターBCのメソッドを通ったログのエビデンスを取得すること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</si>
</sst>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m&quot;月&quot;d&quot;日&quot;;@"/>
    <numFmt numFmtId="177" formatCode="yyyy/m/d;@"/>
    <numFmt numFmtId="178" formatCode="m/d;@"/>
  </numFmts>
  <fonts count="15">
    <font>
      <sz val="11"/>
      <name val="ＭＳ Ｐゴシック"/>
      <family val="3"/>
      <charset val="128"/>
    </font>
    <font>
      <sz val="11"/>
      <name val="明朝"/>
      <family val="1"/>
      <charset val="128"/>
    </font>
    <font>
      <sz val="10"/>
      <name val="ＭＳ Ｐゴシック"/>
      <family val="3"/>
      <charset val="128"/>
    </font>
    <font>
      <sz val="6"/>
      <name val="ＭＳ Ｐゴシック"/>
      <family val="3"/>
      <charset val="128"/>
    </font>
    <font>
      <sz val="10"/>
      <name val="ＭＳ ゴシック"/>
      <family val="3"/>
      <charset val="128"/>
    </font>
    <font>
      <b/>
      <sz val="10"/>
      <name val="ＭＳ ゴシック"/>
      <family val="3"/>
      <charset val="128"/>
    </font>
    <font>
      <sz val="9"/>
      <color indexed="8"/>
      <name val="ＭＳ Ｐゴシック"/>
      <family val="3"/>
      <charset val="128"/>
    </font>
    <font>
      <sz val="14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Ｐ明朝"/>
      <family val="1"/>
      <charset val="128"/>
    </font>
    <font>
      <sz val="9"/>
      <name val="ＭＳ Ｐ明朝"/>
      <family val="1"/>
      <charset val="128"/>
    </font>
    <font>
      <sz val="12"/>
      <name val="ＭＳ Ｐ明朝"/>
      <family val="1"/>
      <charset val="128"/>
    </font>
    <font>
      <sz val="12"/>
      <name val="ＭＳ Ｐゴシック"/>
      <family val="3"/>
      <charset val="128"/>
    </font>
    <font>
      <b/>
      <sz val="11"/>
      <name val="ＭＳ Ｐ明朝"/>
      <family val="1"/>
      <charset val="128"/>
    </font>
    <font>
      <b/>
      <sz val="11"/>
      <color theme="0"/>
      <name val="ＭＳ Ｐ明朝"/>
      <family val="1"/>
      <charset val="128"/>
    </font>
  </fonts>
  <fills count="6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59996337778862885"/>
        <bgColor indexed="64"/>
      </patternFill>
    </fill>
  </fills>
  <borders count="37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dotted">
        <color indexed="64"/>
      </right>
      <top style="thin">
        <color indexed="64"/>
      </top>
      <bottom/>
      <diagonal/>
    </border>
    <border>
      <left style="dotted">
        <color indexed="64"/>
      </left>
      <right/>
      <top style="thin">
        <color indexed="64"/>
      </top>
      <bottom/>
      <diagonal/>
    </border>
    <border>
      <left/>
      <right style="dotted">
        <color indexed="64"/>
      </right>
      <top/>
      <bottom style="thin">
        <color indexed="64"/>
      </bottom>
      <diagonal/>
    </border>
    <border>
      <left style="dotted">
        <color indexed="64"/>
      </left>
      <right/>
      <top/>
      <bottom style="thin">
        <color indexed="64"/>
      </bottom>
      <diagonal/>
    </border>
    <border>
      <left/>
      <right style="dotted">
        <color indexed="64"/>
      </right>
      <top/>
      <bottom/>
      <diagonal/>
    </border>
    <border>
      <left style="dotted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dotted">
        <color indexed="64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dotted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tted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8">
    <xf numFmtId="0" fontId="0" fillId="0" borderId="0"/>
    <xf numFmtId="0" fontId="8" fillId="0" borderId="0"/>
    <xf numFmtId="0" fontId="8" fillId="0" borderId="0"/>
    <xf numFmtId="0" fontId="1" fillId="0" borderId="0"/>
    <xf numFmtId="0" fontId="1" fillId="0" borderId="0"/>
    <xf numFmtId="0" fontId="8" fillId="0" borderId="0"/>
    <xf numFmtId="0" fontId="8" fillId="0" borderId="0"/>
    <xf numFmtId="0" fontId="2" fillId="0" borderId="0"/>
  </cellStyleXfs>
  <cellXfs count="265">
    <xf numFmtId="0" fontId="0" fillId="0" borderId="0" xfId="0"/>
    <xf numFmtId="0" fontId="4" fillId="0" borderId="0" xfId="0" applyFont="1" applyBorder="1" applyAlignment="1"/>
    <xf numFmtId="0" fontId="4" fillId="0" borderId="0" xfId="4" applyFont="1" applyFill="1"/>
    <xf numFmtId="0" fontId="4" fillId="0" borderId="0" xfId="7" applyFont="1"/>
    <xf numFmtId="176" fontId="4" fillId="0" borderId="0" xfId="0" applyNumberFormat="1" applyFont="1" applyBorder="1" applyAlignment="1"/>
    <xf numFmtId="0" fontId="4" fillId="0" borderId="0" xfId="0" applyNumberFormat="1" applyFont="1" applyBorder="1" applyAlignment="1"/>
    <xf numFmtId="0" fontId="4" fillId="0" borderId="1" xfId="0" applyFont="1" applyFill="1" applyBorder="1" applyAlignment="1">
      <alignment vertical="top"/>
    </xf>
    <xf numFmtId="0" fontId="4" fillId="0" borderId="0" xfId="3" applyFont="1"/>
    <xf numFmtId="0" fontId="4" fillId="0" borderId="2" xfId="0" applyFont="1" applyBorder="1" applyAlignment="1">
      <alignment vertical="top"/>
    </xf>
    <xf numFmtId="0" fontId="4" fillId="2" borderId="2" xfId="4" applyFont="1" applyFill="1" applyBorder="1" applyAlignment="1"/>
    <xf numFmtId="0" fontId="4" fillId="2" borderId="1" xfId="4" applyFont="1" applyFill="1" applyBorder="1" applyAlignment="1"/>
    <xf numFmtId="0" fontId="4" fillId="2" borderId="3" xfId="4" applyFont="1" applyFill="1" applyBorder="1" applyAlignment="1"/>
    <xf numFmtId="0" fontId="4" fillId="0" borderId="1" xfId="4" applyFont="1" applyFill="1" applyBorder="1" applyAlignment="1"/>
    <xf numFmtId="0" fontId="4" fillId="0" borderId="3" xfId="4" applyFont="1" applyFill="1" applyBorder="1" applyAlignment="1"/>
    <xf numFmtId="0" fontId="4" fillId="0" borderId="1" xfId="0" applyFont="1" applyBorder="1" applyAlignment="1"/>
    <xf numFmtId="49" fontId="4" fillId="0" borderId="1" xfId="4" applyNumberFormat="1" applyFont="1" applyFill="1" applyBorder="1" applyAlignment="1"/>
    <xf numFmtId="49" fontId="4" fillId="0" borderId="3" xfId="4" applyNumberFormat="1" applyFont="1" applyFill="1" applyBorder="1" applyAlignment="1"/>
    <xf numFmtId="49" fontId="4" fillId="0" borderId="2" xfId="4" applyNumberFormat="1" applyFont="1" applyFill="1" applyBorder="1" applyAlignment="1"/>
    <xf numFmtId="0" fontId="4" fillId="0" borderId="4" xfId="0" applyFont="1" applyBorder="1" applyAlignment="1">
      <alignment vertical="top"/>
    </xf>
    <xf numFmtId="0" fontId="4" fillId="0" borderId="5" xfId="0" applyFont="1" applyBorder="1" applyAlignment="1">
      <alignment vertical="top"/>
    </xf>
    <xf numFmtId="0" fontId="4" fillId="0" borderId="6" xfId="0" applyFont="1" applyBorder="1" applyAlignment="1">
      <alignment vertical="top"/>
    </xf>
    <xf numFmtId="0" fontId="4" fillId="0" borderId="7" xfId="0" applyFont="1" applyBorder="1" applyAlignment="1">
      <alignment vertical="top"/>
    </xf>
    <xf numFmtId="0" fontId="4" fillId="0" borderId="8" xfId="0" applyFont="1" applyBorder="1" applyAlignment="1">
      <alignment vertical="top"/>
    </xf>
    <xf numFmtId="0" fontId="4" fillId="0" borderId="9" xfId="0" applyFont="1" applyBorder="1" applyAlignment="1">
      <alignment vertical="top"/>
    </xf>
    <xf numFmtId="0" fontId="4" fillId="0" borderId="2" xfId="0" applyFont="1" applyFill="1" applyBorder="1" applyAlignment="1">
      <alignment vertical="top"/>
    </xf>
    <xf numFmtId="0" fontId="4" fillId="0" borderId="3" xfId="0" applyFont="1" applyFill="1" applyBorder="1" applyAlignment="1">
      <alignment vertical="top"/>
    </xf>
    <xf numFmtId="49" fontId="4" fillId="0" borderId="2" xfId="4" applyNumberFormat="1" applyFont="1" applyFill="1" applyBorder="1" applyAlignment="1">
      <alignment horizontal="left"/>
    </xf>
    <xf numFmtId="0" fontId="4" fillId="0" borderId="1" xfId="4" applyFont="1" applyFill="1" applyBorder="1" applyAlignment="1">
      <alignment vertical="top" wrapText="1"/>
    </xf>
    <xf numFmtId="49" fontId="4" fillId="0" borderId="2" xfId="4" applyNumberFormat="1" applyFont="1" applyFill="1" applyBorder="1" applyAlignment="1">
      <alignment horizontal="left" vertical="top"/>
    </xf>
    <xf numFmtId="0" fontId="4" fillId="0" borderId="1" xfId="4" applyFont="1" applyFill="1" applyBorder="1" applyAlignment="1">
      <alignment vertical="top"/>
    </xf>
    <xf numFmtId="0" fontId="4" fillId="0" borderId="3" xfId="4" applyFont="1" applyFill="1" applyBorder="1" applyAlignment="1">
      <alignment vertical="top"/>
    </xf>
    <xf numFmtId="49" fontId="4" fillId="0" borderId="2" xfId="4" applyNumberFormat="1" applyFont="1" applyFill="1" applyBorder="1" applyAlignment="1">
      <alignment vertical="top"/>
    </xf>
    <xf numFmtId="0" fontId="4" fillId="0" borderId="2" xfId="4" applyFont="1" applyFill="1" applyBorder="1" applyAlignment="1">
      <alignment vertical="top"/>
    </xf>
    <xf numFmtId="49" fontId="4" fillId="0" borderId="1" xfId="4" applyNumberFormat="1" applyFont="1" applyFill="1" applyBorder="1" applyAlignment="1">
      <alignment vertical="top"/>
    </xf>
    <xf numFmtId="0" fontId="4" fillId="0" borderId="0" xfId="0" applyFont="1" applyFill="1" applyBorder="1" applyAlignment="1"/>
    <xf numFmtId="0" fontId="0" fillId="0" borderId="10" xfId="0" applyBorder="1" applyAlignment="1">
      <alignment vertical="center"/>
    </xf>
    <xf numFmtId="0" fontId="0" fillId="0" borderId="11" xfId="0" applyBorder="1" applyAlignment="1">
      <alignment vertical="center"/>
    </xf>
    <xf numFmtId="0" fontId="6" fillId="0" borderId="10" xfId="0" applyFont="1" applyBorder="1" applyAlignment="1">
      <alignment vertical="center"/>
    </xf>
    <xf numFmtId="0" fontId="0" fillId="0" borderId="12" xfId="0" applyBorder="1" applyAlignment="1">
      <alignment vertical="center"/>
    </xf>
    <xf numFmtId="0" fontId="0" fillId="0" borderId="0" xfId="0" applyAlignment="1">
      <alignment vertical="center"/>
    </xf>
    <xf numFmtId="0" fontId="0" fillId="0" borderId="0" xfId="0" applyBorder="1" applyAlignment="1">
      <alignment vertical="center"/>
    </xf>
    <xf numFmtId="0" fontId="0" fillId="0" borderId="13" xfId="0" applyBorder="1" applyAlignment="1">
      <alignment vertical="center"/>
    </xf>
    <xf numFmtId="0" fontId="0" fillId="0" borderId="14" xfId="0" applyBorder="1" applyAlignment="1">
      <alignment vertical="center"/>
    </xf>
    <xf numFmtId="0" fontId="0" fillId="0" borderId="5" xfId="0" applyBorder="1" applyAlignment="1">
      <alignment vertical="center"/>
    </xf>
    <xf numFmtId="0" fontId="0" fillId="0" borderId="4" xfId="0" applyBorder="1" applyAlignment="1">
      <alignment vertical="center"/>
    </xf>
    <xf numFmtId="0" fontId="6" fillId="0" borderId="5" xfId="0" applyFont="1" applyBorder="1" applyAlignment="1">
      <alignment vertical="center"/>
    </xf>
    <xf numFmtId="0" fontId="0" fillId="0" borderId="15" xfId="0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16" xfId="0" applyBorder="1" applyAlignment="1">
      <alignment vertical="center"/>
    </xf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13" xfId="0" applyBorder="1"/>
    <xf numFmtId="0" fontId="0" fillId="0" borderId="0" xfId="0" applyBorder="1"/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5" xfId="0" applyBorder="1" applyAlignment="1"/>
    <xf numFmtId="0" fontId="0" fillId="0" borderId="6" xfId="0" applyBorder="1" applyAlignment="1"/>
    <xf numFmtId="0" fontId="0" fillId="0" borderId="23" xfId="0" applyBorder="1" applyAlignment="1"/>
    <xf numFmtId="0" fontId="0" fillId="0" borderId="4" xfId="0" applyBorder="1" applyAlignment="1"/>
    <xf numFmtId="0" fontId="0" fillId="0" borderId="13" xfId="0" applyBorder="1" applyAlignment="1"/>
    <xf numFmtId="0" fontId="0" fillId="0" borderId="0" xfId="0" applyBorder="1" applyAlignment="1"/>
    <xf numFmtId="0" fontId="0" fillId="0" borderId="7" xfId="0" applyBorder="1" applyAlignment="1"/>
    <xf numFmtId="0" fontId="0" fillId="0" borderId="8" xfId="0" applyBorder="1" applyAlignment="1"/>
    <xf numFmtId="0" fontId="0" fillId="0" borderId="9" xfId="0" applyBorder="1" applyAlignment="1"/>
    <xf numFmtId="0" fontId="0" fillId="0" borderId="0" xfId="0" applyFill="1" applyBorder="1" applyAlignment="1"/>
    <xf numFmtId="49" fontId="4" fillId="0" borderId="4" xfId="4" applyNumberFormat="1" applyFont="1" applyFill="1" applyBorder="1" applyAlignment="1">
      <alignment horizontal="left" vertical="top"/>
    </xf>
    <xf numFmtId="0" fontId="0" fillId="0" borderId="2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 shrinkToFit="1"/>
    </xf>
    <xf numFmtId="0" fontId="0" fillId="0" borderId="1" xfId="0" applyBorder="1" applyAlignment="1">
      <alignment horizontal="center" shrinkToFit="1"/>
    </xf>
    <xf numFmtId="0" fontId="0" fillId="0" borderId="3" xfId="0" applyBorder="1" applyAlignment="1">
      <alignment horizontal="center" shrinkToFit="1"/>
    </xf>
    <xf numFmtId="0" fontId="4" fillId="0" borderId="1" xfId="4" applyFont="1" applyFill="1" applyBorder="1" applyAlignment="1">
      <alignment vertical="center"/>
    </xf>
    <xf numFmtId="0" fontId="4" fillId="0" borderId="0" xfId="0" applyFont="1" applyBorder="1" applyAlignment="1">
      <alignment vertical="center"/>
    </xf>
    <xf numFmtId="49" fontId="4" fillId="0" borderId="2" xfId="4" applyNumberFormat="1" applyFont="1" applyFill="1" applyBorder="1" applyAlignment="1">
      <alignment horizontal="left" vertical="center"/>
    </xf>
    <xf numFmtId="0" fontId="4" fillId="0" borderId="3" xfId="4" applyFont="1" applyFill="1" applyBorder="1" applyAlignment="1">
      <alignment vertical="center"/>
    </xf>
    <xf numFmtId="0" fontId="4" fillId="0" borderId="2" xfId="4" applyFont="1" applyFill="1" applyBorder="1" applyAlignment="1">
      <alignment vertical="center"/>
    </xf>
    <xf numFmtId="49" fontId="4" fillId="0" borderId="1" xfId="4" applyNumberFormat="1" applyFont="1" applyFill="1" applyBorder="1" applyAlignment="1">
      <alignment vertical="center"/>
    </xf>
    <xf numFmtId="0" fontId="4" fillId="2" borderId="4" xfId="4" applyFont="1" applyFill="1" applyBorder="1" applyAlignment="1"/>
    <xf numFmtId="0" fontId="4" fillId="2" borderId="5" xfId="4" applyFont="1" applyFill="1" applyBorder="1" applyAlignment="1"/>
    <xf numFmtId="0" fontId="4" fillId="2" borderId="6" xfId="4" applyFont="1" applyFill="1" applyBorder="1" applyAlignment="1"/>
    <xf numFmtId="0" fontId="4" fillId="2" borderId="7" xfId="4" applyFont="1" applyFill="1" applyBorder="1" applyAlignment="1"/>
    <xf numFmtId="0" fontId="4" fillId="2" borderId="8" xfId="4" applyFont="1" applyFill="1" applyBorder="1" applyAlignment="1"/>
    <xf numFmtId="0" fontId="4" fillId="2" borderId="9" xfId="4" applyFont="1" applyFill="1" applyBorder="1" applyAlignment="1"/>
    <xf numFmtId="0" fontId="4" fillId="2" borderId="7" xfId="4" applyFont="1" applyFill="1" applyBorder="1" applyAlignment="1">
      <alignment horizontal="center"/>
    </xf>
    <xf numFmtId="0" fontId="4" fillId="2" borderId="8" xfId="4" applyFont="1" applyFill="1" applyBorder="1" applyAlignment="1">
      <alignment horizontal="center"/>
    </xf>
    <xf numFmtId="0" fontId="4" fillId="2" borderId="9" xfId="4" applyFont="1" applyFill="1" applyBorder="1" applyAlignment="1">
      <alignment horizontal="center"/>
    </xf>
    <xf numFmtId="177" fontId="4" fillId="0" borderId="0" xfId="0" applyNumberFormat="1" applyFont="1" applyBorder="1" applyAlignment="1"/>
    <xf numFmtId="0" fontId="9" fillId="0" borderId="0" xfId="5" applyFont="1" applyAlignment="1">
      <alignment vertical="center"/>
    </xf>
    <xf numFmtId="0" fontId="9" fillId="0" borderId="0" xfId="5" applyFont="1" applyAlignment="1">
      <alignment vertical="center" wrapText="1"/>
    </xf>
    <xf numFmtId="14" fontId="9" fillId="0" borderId="0" xfId="5" applyNumberFormat="1" applyFont="1" applyAlignment="1">
      <alignment vertical="center"/>
    </xf>
    <xf numFmtId="14" fontId="9" fillId="0" borderId="0" xfId="5" applyNumberFormat="1" applyFont="1" applyAlignment="1">
      <alignment horizontal="center" vertical="center"/>
    </xf>
    <xf numFmtId="0" fontId="10" fillId="0" borderId="24" xfId="5" applyFont="1" applyBorder="1" applyAlignment="1">
      <alignment vertical="center" wrapText="1"/>
    </xf>
    <xf numFmtId="0" fontId="9" fillId="0" borderId="24" xfId="5" applyFont="1" applyBorder="1" applyAlignment="1">
      <alignment vertical="center" wrapText="1"/>
    </xf>
    <xf numFmtId="0" fontId="9" fillId="0" borderId="24" xfId="5" applyFont="1" applyBorder="1" applyAlignment="1">
      <alignment vertical="center"/>
    </xf>
    <xf numFmtId="14" fontId="9" fillId="0" borderId="24" xfId="5" applyNumberFormat="1" applyFont="1" applyBorder="1" applyAlignment="1">
      <alignment vertical="center"/>
    </xf>
    <xf numFmtId="14" fontId="9" fillId="0" borderId="24" xfId="5" applyNumberFormat="1" applyFont="1" applyBorder="1" applyAlignment="1">
      <alignment horizontal="center" vertical="center"/>
    </xf>
    <xf numFmtId="0" fontId="10" fillId="0" borderId="24" xfId="5" applyFont="1" applyBorder="1" applyAlignment="1">
      <alignment vertical="center"/>
    </xf>
    <xf numFmtId="0" fontId="10" fillId="0" borderId="24" xfId="1" applyFont="1" applyBorder="1" applyAlignment="1">
      <alignment vertical="center" wrapText="1"/>
    </xf>
    <xf numFmtId="0" fontId="10" fillId="0" borderId="0" xfId="6" applyFont="1" applyAlignment="1">
      <alignment vertical="center"/>
    </xf>
    <xf numFmtId="0" fontId="10" fillId="0" borderId="24" xfId="6" applyFont="1" applyBorder="1" applyAlignment="1">
      <alignment vertical="center" wrapText="1"/>
    </xf>
    <xf numFmtId="14" fontId="10" fillId="0" borderId="24" xfId="6" applyNumberFormat="1" applyFont="1" applyBorder="1" applyAlignment="1">
      <alignment vertical="center"/>
    </xf>
    <xf numFmtId="14" fontId="10" fillId="0" borderId="24" xfId="6" applyNumberFormat="1" applyFont="1" applyBorder="1" applyAlignment="1">
      <alignment horizontal="center" vertical="center"/>
    </xf>
    <xf numFmtId="0" fontId="10" fillId="0" borderId="24" xfId="6" applyFont="1" applyBorder="1" applyAlignment="1">
      <alignment vertical="center"/>
    </xf>
    <xf numFmtId="0" fontId="8" fillId="3" borderId="24" xfId="5" applyFont="1" applyFill="1" applyBorder="1" applyAlignment="1">
      <alignment horizontal="center" vertical="center" wrapText="1"/>
    </xf>
    <xf numFmtId="0" fontId="8" fillId="3" borderId="24" xfId="5" applyFont="1" applyFill="1" applyBorder="1" applyAlignment="1">
      <alignment horizontal="center" vertical="center"/>
    </xf>
    <xf numFmtId="14" fontId="8" fillId="3" borderId="24" xfId="5" applyNumberFormat="1" applyFont="1" applyFill="1" applyBorder="1" applyAlignment="1">
      <alignment horizontal="center" vertical="center"/>
    </xf>
    <xf numFmtId="0" fontId="11" fillId="0" borderId="0" xfId="5" applyFont="1" applyAlignment="1">
      <alignment vertical="center"/>
    </xf>
    <xf numFmtId="0" fontId="11" fillId="0" borderId="0" xfId="5" applyFont="1" applyAlignment="1">
      <alignment vertical="center" wrapText="1"/>
    </xf>
    <xf numFmtId="14" fontId="11" fillId="0" borderId="0" xfId="5" applyNumberFormat="1" applyFont="1" applyAlignment="1">
      <alignment vertical="center"/>
    </xf>
    <xf numFmtId="14" fontId="11" fillId="0" borderId="0" xfId="5" applyNumberFormat="1" applyFont="1" applyAlignment="1">
      <alignment horizontal="center" vertical="center"/>
    </xf>
    <xf numFmtId="0" fontId="12" fillId="0" borderId="0" xfId="5" applyFont="1" applyAlignment="1">
      <alignment vertical="center"/>
    </xf>
    <xf numFmtId="49" fontId="9" fillId="0" borderId="0" xfId="2" applyNumberFormat="1" applyFont="1" applyAlignment="1">
      <alignment horizontal="left" vertical="center"/>
    </xf>
    <xf numFmtId="49" fontId="9" fillId="0" borderId="0" xfId="2" applyNumberFormat="1" applyFont="1" applyAlignment="1">
      <alignment vertical="center"/>
    </xf>
    <xf numFmtId="49" fontId="9" fillId="0" borderId="0" xfId="2" applyNumberFormat="1" applyFont="1" applyAlignment="1">
      <alignment horizontal="center" vertical="center"/>
    </xf>
    <xf numFmtId="49" fontId="9" fillId="0" borderId="25" xfId="2" applyNumberFormat="1" applyFont="1" applyBorder="1" applyAlignment="1">
      <alignment horizontal="left" vertical="center"/>
    </xf>
    <xf numFmtId="49" fontId="9" fillId="0" borderId="25" xfId="2" applyNumberFormat="1" applyFont="1" applyBorder="1" applyAlignment="1">
      <alignment vertical="center"/>
    </xf>
    <xf numFmtId="49" fontId="9" fillId="0" borderId="25" xfId="2" applyNumberFormat="1" applyFont="1" applyBorder="1" applyAlignment="1">
      <alignment horizontal="center" vertical="center"/>
    </xf>
    <xf numFmtId="49" fontId="13" fillId="0" borderId="25" xfId="2" applyNumberFormat="1" applyFont="1" applyBorder="1" applyAlignment="1">
      <alignment horizontal="left" vertical="center"/>
    </xf>
    <xf numFmtId="178" fontId="4" fillId="0" borderId="2" xfId="4" applyNumberFormat="1" applyFont="1" applyFill="1" applyBorder="1" applyAlignment="1">
      <alignment vertical="top" shrinkToFit="1"/>
    </xf>
    <xf numFmtId="178" fontId="4" fillId="0" borderId="3" xfId="4" applyNumberFormat="1" applyFont="1" applyFill="1" applyBorder="1" applyAlignment="1">
      <alignment vertical="top" shrinkToFit="1"/>
    </xf>
    <xf numFmtId="0" fontId="4" fillId="2" borderId="26" xfId="4" applyFont="1" applyFill="1" applyBorder="1" applyAlignment="1">
      <alignment horizontal="center" shrinkToFit="1"/>
    </xf>
    <xf numFmtId="0" fontId="4" fillId="2" borderId="27" xfId="4" applyFont="1" applyFill="1" applyBorder="1" applyAlignment="1">
      <alignment horizontal="center" shrinkToFit="1"/>
    </xf>
    <xf numFmtId="178" fontId="4" fillId="0" borderId="26" xfId="4" applyNumberFormat="1" applyFont="1" applyFill="1" applyBorder="1" applyAlignment="1">
      <alignment vertical="top" shrinkToFit="1"/>
    </xf>
    <xf numFmtId="178" fontId="4" fillId="0" borderId="27" xfId="4" applyNumberFormat="1" applyFont="1" applyFill="1" applyBorder="1" applyAlignment="1">
      <alignment vertical="top" shrinkToFit="1"/>
    </xf>
    <xf numFmtId="0" fontId="4" fillId="2" borderId="13" xfId="4" applyFont="1" applyFill="1" applyBorder="1" applyAlignment="1">
      <alignment horizontal="center"/>
    </xf>
    <xf numFmtId="0" fontId="4" fillId="2" borderId="0" xfId="4" applyFont="1" applyFill="1" applyBorder="1" applyAlignment="1">
      <alignment horizontal="center"/>
    </xf>
    <xf numFmtId="0" fontId="4" fillId="2" borderId="23" xfId="4" applyFont="1" applyFill="1" applyBorder="1" applyAlignment="1">
      <alignment horizontal="center"/>
    </xf>
    <xf numFmtId="178" fontId="4" fillId="0" borderId="1" xfId="4" applyNumberFormat="1" applyFont="1" applyFill="1" applyBorder="1" applyAlignment="1">
      <alignment vertical="top" shrinkToFit="1"/>
    </xf>
    <xf numFmtId="178" fontId="4" fillId="0" borderId="2" xfId="4" applyNumberFormat="1" applyFont="1" applyFill="1" applyBorder="1" applyAlignment="1">
      <alignment vertical="center" shrinkToFit="1"/>
    </xf>
    <xf numFmtId="178" fontId="4" fillId="0" borderId="3" xfId="4" applyNumberFormat="1" applyFont="1" applyFill="1" applyBorder="1" applyAlignment="1">
      <alignment vertical="center" shrinkToFit="1"/>
    </xf>
    <xf numFmtId="178" fontId="4" fillId="0" borderId="26" xfId="4" applyNumberFormat="1" applyFont="1" applyFill="1" applyBorder="1" applyAlignment="1">
      <alignment vertical="center" shrinkToFit="1"/>
    </xf>
    <xf numFmtId="178" fontId="4" fillId="0" borderId="27" xfId="4" applyNumberFormat="1" applyFont="1" applyFill="1" applyBorder="1" applyAlignment="1">
      <alignment vertical="center" shrinkToFit="1"/>
    </xf>
    <xf numFmtId="0" fontId="4" fillId="2" borderId="0" xfId="4" applyFont="1" applyFill="1" applyBorder="1" applyAlignment="1"/>
    <xf numFmtId="0" fontId="4" fillId="2" borderId="23" xfId="4" applyFont="1" applyFill="1" applyBorder="1" applyAlignment="1"/>
    <xf numFmtId="0" fontId="4" fillId="2" borderId="13" xfId="4" applyFont="1" applyFill="1" applyBorder="1" applyAlignment="1"/>
    <xf numFmtId="0" fontId="10" fillId="0" borderId="28" xfId="5" applyFont="1" applyBorder="1" applyAlignment="1">
      <alignment vertical="center"/>
    </xf>
    <xf numFmtId="14" fontId="9" fillId="0" borderId="28" xfId="5" applyNumberFormat="1" applyFont="1" applyBorder="1" applyAlignment="1">
      <alignment horizontal="center" vertical="center"/>
    </xf>
    <xf numFmtId="14" fontId="9" fillId="0" borderId="28" xfId="5" applyNumberFormat="1" applyFont="1" applyBorder="1" applyAlignment="1">
      <alignment vertical="center"/>
    </xf>
    <xf numFmtId="0" fontId="2" fillId="0" borderId="24" xfId="0" applyFont="1" applyFill="1" applyBorder="1" applyAlignment="1">
      <alignment horizontal="right" vertical="center"/>
    </xf>
    <xf numFmtId="0" fontId="2" fillId="0" borderId="24" xfId="0" applyFont="1" applyFill="1" applyBorder="1" applyAlignment="1">
      <alignment vertical="center" wrapText="1"/>
    </xf>
    <xf numFmtId="0" fontId="0" fillId="0" borderId="0" xfId="0" applyFill="1"/>
    <xf numFmtId="0" fontId="0" fillId="0" borderId="24" xfId="0" applyFont="1" applyFill="1" applyBorder="1" applyAlignment="1">
      <alignment horizontal="center"/>
    </xf>
    <xf numFmtId="0" fontId="0" fillId="0" borderId="24" xfId="0" applyFill="1" applyBorder="1"/>
    <xf numFmtId="0" fontId="0" fillId="0" borderId="24" xfId="0" applyBorder="1"/>
    <xf numFmtId="0" fontId="0" fillId="0" borderId="24" xfId="0" applyBorder="1" applyAlignment="1">
      <alignment vertical="center"/>
    </xf>
    <xf numFmtId="0" fontId="0" fillId="0" borderId="24" xfId="0" applyFill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4" fillId="0" borderId="1" xfId="4" applyFont="1" applyFill="1" applyBorder="1" applyAlignment="1">
      <alignment vertical="top" wrapText="1"/>
    </xf>
    <xf numFmtId="0" fontId="4" fillId="0" borderId="3" xfId="4" applyFont="1" applyFill="1" applyBorder="1" applyAlignment="1">
      <alignment vertical="top"/>
    </xf>
    <xf numFmtId="0" fontId="4" fillId="0" borderId="1" xfId="4" applyFont="1" applyFill="1" applyBorder="1" applyAlignment="1">
      <alignment vertical="top"/>
    </xf>
    <xf numFmtId="0" fontId="14" fillId="0" borderId="25" xfId="2" applyNumberFormat="1" applyFont="1" applyBorder="1" applyAlignment="1">
      <alignment horizontal="left" vertical="center"/>
    </xf>
    <xf numFmtId="14" fontId="0" fillId="0" borderId="0" xfId="0" applyNumberFormat="1"/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29" xfId="0" applyBorder="1" applyAlignment="1">
      <alignment horizontal="center"/>
    </xf>
    <xf numFmtId="0" fontId="0" fillId="0" borderId="30" xfId="0" applyBorder="1" applyAlignment="1">
      <alignment horizontal="center"/>
    </xf>
    <xf numFmtId="0" fontId="0" fillId="4" borderId="29" xfId="0" applyFill="1" applyBorder="1" applyAlignment="1">
      <alignment horizontal="center"/>
    </xf>
    <xf numFmtId="0" fontId="0" fillId="4" borderId="30" xfId="0" applyFill="1" applyBorder="1" applyAlignment="1">
      <alignment horizontal="center"/>
    </xf>
    <xf numFmtId="0" fontId="0" fillId="5" borderId="29" xfId="0" applyFill="1" applyBorder="1" applyAlignment="1">
      <alignment horizontal="center"/>
    </xf>
    <xf numFmtId="0" fontId="0" fillId="5" borderId="30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31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33" xfId="0" applyBorder="1" applyAlignment="1">
      <alignment horizontal="center" vertical="center"/>
    </xf>
    <xf numFmtId="0" fontId="0" fillId="0" borderId="34" xfId="0" applyBorder="1" applyAlignment="1">
      <alignment vertical="center"/>
    </xf>
    <xf numFmtId="0" fontId="0" fillId="0" borderId="5" xfId="0" applyBorder="1" applyAlignment="1">
      <alignment vertical="center"/>
    </xf>
    <xf numFmtId="0" fontId="0" fillId="0" borderId="6" xfId="0" applyBorder="1" applyAlignment="1">
      <alignment vertical="center"/>
    </xf>
    <xf numFmtId="0" fontId="0" fillId="0" borderId="32" xfId="0" applyBorder="1" applyAlignment="1">
      <alignment vertical="center"/>
    </xf>
    <xf numFmtId="0" fontId="0" fillId="0" borderId="0" xfId="0" applyBorder="1" applyAlignment="1">
      <alignment vertical="center"/>
    </xf>
    <xf numFmtId="0" fontId="0" fillId="0" borderId="23" xfId="0" applyBorder="1" applyAlignment="1">
      <alignment vertical="center"/>
    </xf>
    <xf numFmtId="0" fontId="0" fillId="0" borderId="33" xfId="0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9" xfId="0" applyBorder="1" applyAlignment="1">
      <alignment vertical="center"/>
    </xf>
    <xf numFmtId="0" fontId="0" fillId="0" borderId="1" xfId="0" applyBorder="1" applyAlignment="1">
      <alignment horizontal="center" shrinkToFit="1"/>
    </xf>
    <xf numFmtId="0" fontId="7" fillId="0" borderId="4" xfId="0" applyFont="1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7" fillId="0" borderId="0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4" fillId="0" borderId="1" xfId="4" applyFont="1" applyFill="1" applyBorder="1" applyAlignment="1">
      <alignment vertical="top" wrapText="1"/>
    </xf>
    <xf numFmtId="0" fontId="4" fillId="0" borderId="3" xfId="4" applyFont="1" applyFill="1" applyBorder="1" applyAlignment="1">
      <alignment vertical="top" wrapText="1"/>
    </xf>
    <xf numFmtId="0" fontId="4" fillId="0" borderId="4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14" fontId="4" fillId="0" borderId="4" xfId="0" applyNumberFormat="1" applyFont="1" applyBorder="1" applyAlignment="1">
      <alignment horizontal="center" vertical="center" wrapText="1"/>
    </xf>
    <xf numFmtId="14" fontId="4" fillId="0" borderId="5" xfId="0" applyNumberFormat="1" applyFont="1" applyBorder="1" applyAlignment="1">
      <alignment horizontal="center" vertical="center" wrapText="1"/>
    </xf>
    <xf numFmtId="14" fontId="4" fillId="0" borderId="6" xfId="0" applyNumberFormat="1" applyFont="1" applyBorder="1" applyAlignment="1">
      <alignment horizontal="center" vertical="center" wrapText="1"/>
    </xf>
    <xf numFmtId="14" fontId="4" fillId="0" borderId="7" xfId="0" applyNumberFormat="1" applyFont="1" applyBorder="1" applyAlignment="1">
      <alignment horizontal="center" vertical="center" wrapText="1"/>
    </xf>
    <xf numFmtId="14" fontId="4" fillId="0" borderId="8" xfId="0" applyNumberFormat="1" applyFont="1" applyBorder="1" applyAlignment="1">
      <alignment horizontal="center" vertical="center" wrapText="1"/>
    </xf>
    <xf numFmtId="14" fontId="4" fillId="0" borderId="9" xfId="0" applyNumberFormat="1" applyFont="1" applyBorder="1" applyAlignment="1">
      <alignment horizontal="center" vertical="center" wrapText="1"/>
    </xf>
    <xf numFmtId="0" fontId="4" fillId="2" borderId="2" xfId="4" applyFont="1" applyFill="1" applyBorder="1" applyAlignment="1">
      <alignment horizontal="center" shrinkToFit="1"/>
    </xf>
    <xf numFmtId="0" fontId="4" fillId="2" borderId="3" xfId="4" applyFont="1" applyFill="1" applyBorder="1" applyAlignment="1">
      <alignment horizontal="center" shrinkToFit="1"/>
    </xf>
    <xf numFmtId="0" fontId="4" fillId="0" borderId="2" xfId="4" applyFont="1" applyFill="1" applyBorder="1" applyAlignment="1">
      <alignment vertical="top" wrapText="1"/>
    </xf>
    <xf numFmtId="0" fontId="0" fillId="0" borderId="1" xfId="0" applyBorder="1" applyAlignment="1">
      <alignment vertical="top" wrapText="1"/>
    </xf>
    <xf numFmtId="0" fontId="0" fillId="0" borderId="3" xfId="0" applyBorder="1" applyAlignment="1">
      <alignment vertical="top" wrapText="1"/>
    </xf>
    <xf numFmtId="0" fontId="4" fillId="0" borderId="1" xfId="4" applyFont="1" applyFill="1" applyBorder="1" applyAlignment="1">
      <alignment vertical="top"/>
    </xf>
    <xf numFmtId="0" fontId="4" fillId="0" borderId="3" xfId="4" applyFont="1" applyFill="1" applyBorder="1" applyAlignment="1">
      <alignment vertical="top"/>
    </xf>
    <xf numFmtId="0" fontId="4" fillId="0" borderId="5" xfId="4" applyFont="1" applyFill="1" applyBorder="1" applyAlignment="1">
      <alignment vertical="top"/>
    </xf>
    <xf numFmtId="0" fontId="4" fillId="0" borderId="6" xfId="4" applyFont="1" applyFill="1" applyBorder="1" applyAlignment="1">
      <alignment vertical="top"/>
    </xf>
    <xf numFmtId="0" fontId="4" fillId="2" borderId="1" xfId="4" applyFont="1" applyFill="1" applyBorder="1" applyAlignment="1">
      <alignment horizontal="center" shrinkToFit="1"/>
    </xf>
    <xf numFmtId="0" fontId="5" fillId="0" borderId="8" xfId="0" applyFont="1" applyBorder="1" applyAlignment="1">
      <alignment horizontal="center"/>
    </xf>
    <xf numFmtId="0" fontId="4" fillId="0" borderId="2" xfId="0" applyFont="1" applyFill="1" applyBorder="1" applyAlignment="1">
      <alignment horizontal="center" vertical="top"/>
    </xf>
    <xf numFmtId="0" fontId="4" fillId="0" borderId="1" xfId="0" applyFont="1" applyFill="1" applyBorder="1" applyAlignment="1">
      <alignment horizontal="center" vertical="top"/>
    </xf>
    <xf numFmtId="0" fontId="4" fillId="0" borderId="3" xfId="0" applyFont="1" applyFill="1" applyBorder="1" applyAlignment="1">
      <alignment horizontal="center" vertical="top"/>
    </xf>
    <xf numFmtId="0" fontId="4" fillId="2" borderId="2" xfId="4" applyFont="1" applyFill="1" applyBorder="1" applyAlignment="1">
      <alignment horizontal="center"/>
    </xf>
    <xf numFmtId="0" fontId="4" fillId="2" borderId="1" xfId="4" applyFont="1" applyFill="1" applyBorder="1" applyAlignment="1">
      <alignment horizontal="center"/>
    </xf>
    <xf numFmtId="0" fontId="4" fillId="2" borderId="3" xfId="4" applyFont="1" applyFill="1" applyBorder="1" applyAlignment="1">
      <alignment horizontal="center"/>
    </xf>
    <xf numFmtId="0" fontId="4" fillId="2" borderId="4" xfId="4" applyFont="1" applyFill="1" applyBorder="1" applyAlignment="1">
      <alignment horizontal="center"/>
    </xf>
    <xf numFmtId="0" fontId="4" fillId="2" borderId="5" xfId="4" applyFont="1" applyFill="1" applyBorder="1" applyAlignment="1">
      <alignment horizontal="center"/>
    </xf>
    <xf numFmtId="0" fontId="4" fillId="2" borderId="6" xfId="4" applyFont="1" applyFill="1" applyBorder="1" applyAlignment="1">
      <alignment horizontal="center"/>
    </xf>
    <xf numFmtId="0" fontId="4" fillId="0" borderId="4" xfId="0" applyNumberFormat="1" applyFont="1" applyFill="1" applyBorder="1" applyAlignment="1">
      <alignment horizontal="center" vertical="center" wrapText="1"/>
    </xf>
    <xf numFmtId="0" fontId="4" fillId="0" borderId="5" xfId="0" applyNumberFormat="1" applyFont="1" applyFill="1" applyBorder="1" applyAlignment="1">
      <alignment horizontal="center" vertical="center"/>
    </xf>
    <xf numFmtId="0" fontId="4" fillId="0" borderId="6" xfId="0" applyNumberFormat="1" applyFont="1" applyFill="1" applyBorder="1" applyAlignment="1">
      <alignment horizontal="center" vertical="center"/>
    </xf>
    <xf numFmtId="0" fontId="4" fillId="0" borderId="7" xfId="0" applyNumberFormat="1" applyFont="1" applyFill="1" applyBorder="1" applyAlignment="1">
      <alignment horizontal="center" vertical="center"/>
    </xf>
    <xf numFmtId="0" fontId="4" fillId="0" borderId="8" xfId="0" applyNumberFormat="1" applyFont="1" applyFill="1" applyBorder="1" applyAlignment="1">
      <alignment horizontal="center" vertical="center"/>
    </xf>
    <xf numFmtId="0" fontId="4" fillId="0" borderId="9" xfId="0" applyNumberFormat="1" applyFont="1" applyFill="1" applyBorder="1" applyAlignment="1">
      <alignment horizontal="center" vertical="center"/>
    </xf>
    <xf numFmtId="0" fontId="4" fillId="0" borderId="1" xfId="4" applyFont="1" applyFill="1" applyBorder="1" applyAlignment="1">
      <alignment vertical="center"/>
    </xf>
    <xf numFmtId="0" fontId="4" fillId="0" borderId="3" xfId="4" applyFont="1" applyFill="1" applyBorder="1" applyAlignment="1">
      <alignment vertical="center"/>
    </xf>
    <xf numFmtId="0" fontId="4" fillId="0" borderId="1" xfId="4" applyFont="1" applyFill="1" applyBorder="1" applyAlignment="1">
      <alignment vertical="center" wrapText="1"/>
    </xf>
    <xf numFmtId="0" fontId="4" fillId="0" borderId="3" xfId="4" applyFont="1" applyFill="1" applyBorder="1" applyAlignment="1">
      <alignment vertical="center" wrapText="1"/>
    </xf>
    <xf numFmtId="14" fontId="4" fillId="0" borderId="13" xfId="0" applyNumberFormat="1" applyFont="1" applyBorder="1" applyAlignment="1">
      <alignment horizontal="center" vertical="top"/>
    </xf>
    <xf numFmtId="0" fontId="4" fillId="0" borderId="0" xfId="0" applyFont="1" applyBorder="1" applyAlignment="1">
      <alignment horizontal="center" vertical="top"/>
    </xf>
    <xf numFmtId="0" fontId="4" fillId="0" borderId="23" xfId="0" applyFont="1" applyBorder="1" applyAlignment="1">
      <alignment horizontal="center" vertical="top"/>
    </xf>
    <xf numFmtId="0" fontId="4" fillId="0" borderId="8" xfId="0" applyFont="1" applyBorder="1" applyAlignment="1">
      <alignment horizontal="center" vertical="top"/>
    </xf>
    <xf numFmtId="0" fontId="4" fillId="0" borderId="9" xfId="0" applyFont="1" applyBorder="1" applyAlignment="1">
      <alignment horizontal="center" vertical="top"/>
    </xf>
    <xf numFmtId="0" fontId="4" fillId="0" borderId="4" xfId="0" applyNumberFormat="1" applyFont="1" applyFill="1" applyBorder="1" applyAlignment="1">
      <alignment horizontal="center" vertical="top"/>
    </xf>
    <xf numFmtId="0" fontId="4" fillId="0" borderId="5" xfId="0" applyNumberFormat="1" applyFont="1" applyFill="1" applyBorder="1" applyAlignment="1">
      <alignment horizontal="center" vertical="top"/>
    </xf>
    <xf numFmtId="0" fontId="4" fillId="0" borderId="6" xfId="0" applyNumberFormat="1" applyFont="1" applyFill="1" applyBorder="1" applyAlignment="1">
      <alignment horizontal="center" vertical="top"/>
    </xf>
    <xf numFmtId="0" fontId="4" fillId="0" borderId="7" xfId="0" applyNumberFormat="1" applyFont="1" applyFill="1" applyBorder="1" applyAlignment="1">
      <alignment horizontal="center" vertical="top"/>
    </xf>
    <xf numFmtId="0" fontId="4" fillId="0" borderId="8" xfId="0" applyNumberFormat="1" applyFont="1" applyFill="1" applyBorder="1" applyAlignment="1">
      <alignment horizontal="center" vertical="top"/>
    </xf>
    <xf numFmtId="0" fontId="4" fillId="0" borderId="9" xfId="0" applyNumberFormat="1" applyFont="1" applyFill="1" applyBorder="1" applyAlignment="1">
      <alignment horizontal="center" vertical="top"/>
    </xf>
    <xf numFmtId="14" fontId="4" fillId="0" borderId="7" xfId="0" applyNumberFormat="1" applyFont="1" applyBorder="1" applyAlignment="1">
      <alignment horizontal="center" vertical="top"/>
    </xf>
    <xf numFmtId="14" fontId="4" fillId="0" borderId="8" xfId="0" applyNumberFormat="1" applyFont="1" applyBorder="1" applyAlignment="1">
      <alignment horizontal="center" vertical="top"/>
    </xf>
    <xf numFmtId="14" fontId="4" fillId="0" borderId="9" xfId="0" applyNumberFormat="1" applyFont="1" applyBorder="1" applyAlignment="1">
      <alignment horizontal="center" vertical="top"/>
    </xf>
    <xf numFmtId="0" fontId="4" fillId="0" borderId="4" xfId="0" applyFont="1" applyBorder="1" applyAlignment="1">
      <alignment horizontal="center" vertical="top"/>
    </xf>
    <xf numFmtId="0" fontId="4" fillId="0" borderId="6" xfId="0" applyFont="1" applyBorder="1" applyAlignment="1">
      <alignment horizontal="center" vertical="top"/>
    </xf>
    <xf numFmtId="0" fontId="4" fillId="0" borderId="7" xfId="0" applyFont="1" applyBorder="1" applyAlignment="1">
      <alignment horizontal="center" vertical="top"/>
    </xf>
    <xf numFmtId="0" fontId="0" fillId="0" borderId="35" xfId="0" applyFill="1" applyBorder="1" applyAlignment="1">
      <alignment horizontal="center" vertical="center" textRotation="255"/>
    </xf>
    <xf numFmtId="0" fontId="0" fillId="0" borderId="36" xfId="0" applyFill="1" applyBorder="1" applyAlignment="1">
      <alignment horizontal="center" vertical="center" textRotation="255"/>
    </xf>
    <xf numFmtId="0" fontId="0" fillId="0" borderId="28" xfId="0" applyFill="1" applyBorder="1" applyAlignment="1">
      <alignment horizontal="center" vertical="center" textRotation="255"/>
    </xf>
    <xf numFmtId="0" fontId="0" fillId="0" borderId="0" xfId="0"/>
    <xf numFmtId="0" fontId="8" fillId="0" borderId="24" xfId="0" applyFont="1" applyFill="1" applyBorder="1" applyAlignment="1">
      <alignment horizontal="center"/>
    </xf>
    <xf numFmtId="0" fontId="0" fillId="0" borderId="24" xfId="0" applyFont="1" applyFill="1" applyBorder="1" applyAlignment="1">
      <alignment horizontal="center"/>
    </xf>
    <xf numFmtId="0" fontId="0" fillId="0" borderId="35" xfId="0" applyBorder="1" applyAlignment="1">
      <alignment horizontal="center" wrapText="1"/>
    </xf>
    <xf numFmtId="0" fontId="0" fillId="0" borderId="28" xfId="0" applyBorder="1" applyAlignment="1">
      <alignment horizontal="center"/>
    </xf>
  </cellXfs>
  <cellStyles count="8">
    <cellStyle name="標準" xfId="0" builtinId="0"/>
    <cellStyle name="標準 2" xfId="1" xr:uid="{00000000-0005-0000-0000-000001000000}"/>
    <cellStyle name="標準_000.下りIMD共通(テスト仕様書目次)_ABT000100 共通" xfId="2" xr:uid="{00000000-0005-0000-0000-000002000000}"/>
    <cellStyle name="標準_Sheet1" xfId="3" xr:uid="{00000000-0005-0000-0000-000003000000}"/>
    <cellStyle name="標準_システム管理" xfId="4" xr:uid="{00000000-0005-0000-0000-000004000000}"/>
    <cellStyle name="標準_パラメータ定義_ABT000100 共通" xfId="5" xr:uid="{00000000-0005-0000-0000-000005000000}"/>
    <cellStyle name="標準_パラメータ定義_ABT000100 共通_変更履歴_V102" xfId="6" xr:uid="{00000000-0005-0000-0000-000006000000}"/>
    <cellStyle name="標準_種別マスタ" xfId="7" xr:uid="{00000000-0005-0000-0000-000007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0</xdr:colOff>
      <xdr:row>15</xdr:row>
      <xdr:rowOff>1</xdr:rowOff>
    </xdr:from>
    <xdr:to>
      <xdr:col>33</xdr:col>
      <xdr:colOff>190500</xdr:colOff>
      <xdr:row>17</xdr:row>
      <xdr:rowOff>0</xdr:rowOff>
    </xdr:to>
    <xdr:sp macro="" textlink="">
      <xdr:nvSpPr>
        <xdr:cNvPr id="4" name="テキスト ボックス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2815167" y="2413001"/>
          <a:ext cx="3206750" cy="338666"/>
        </a:xfrm>
        <a:prstGeom prst="rect">
          <a:avLst/>
        </a:prstGeom>
        <a:solidFill>
          <a:srgbClr val="66CCFF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lIns="0" tIns="0" rIns="0" bIns="0" rtlCol="0" anchor="t"/>
        <a:lstStyle/>
        <a:p>
          <a:endParaRPr lang="ja-JP" altLang="en-US"/>
        </a:p>
      </xdr:txBody>
    </xdr:sp>
    <xdr:clientData/>
  </xdr:twoCellAnchor>
  <xdr:twoCellAnchor>
    <xdr:from>
      <xdr:col>31</xdr:col>
      <xdr:colOff>201046</xdr:colOff>
      <xdr:row>23</xdr:row>
      <xdr:rowOff>0</xdr:rowOff>
    </xdr:from>
    <xdr:to>
      <xdr:col>35</xdr:col>
      <xdr:colOff>201046</xdr:colOff>
      <xdr:row>25</xdr:row>
      <xdr:rowOff>0</xdr:rowOff>
    </xdr:to>
    <xdr:sp macro="" textlink="">
      <xdr:nvSpPr>
        <xdr:cNvPr id="5" name="テキスト ボックス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/>
      </xdr:nvSpPr>
      <xdr:spPr>
        <a:xfrm>
          <a:off x="5630296" y="3767667"/>
          <a:ext cx="804333" cy="338666"/>
        </a:xfrm>
        <a:prstGeom prst="rect">
          <a:avLst/>
        </a:prstGeom>
        <a:solidFill>
          <a:srgbClr val="66CCFF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lIns="0" tIns="0" rIns="0" bIns="0" rtlCol="0" anchor="t"/>
        <a:lstStyle/>
        <a:p>
          <a:endParaRPr lang="ja-JP" altLang="en-US"/>
        </a:p>
      </xdr:txBody>
    </xdr:sp>
    <xdr:clientData/>
  </xdr:twoCellAnchor>
  <xdr:twoCellAnchor>
    <xdr:from>
      <xdr:col>35</xdr:col>
      <xdr:colOff>201082</xdr:colOff>
      <xdr:row>29</xdr:row>
      <xdr:rowOff>169332</xdr:rowOff>
    </xdr:from>
    <xdr:to>
      <xdr:col>40</xdr:col>
      <xdr:colOff>10557</xdr:colOff>
      <xdr:row>31</xdr:row>
      <xdr:rowOff>169333</xdr:rowOff>
    </xdr:to>
    <xdr:sp macro="" textlink="">
      <xdr:nvSpPr>
        <xdr:cNvPr id="6" name="テキスト ボックス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 txBox="1"/>
      </xdr:nvSpPr>
      <xdr:spPr>
        <a:xfrm>
          <a:off x="6434665" y="4952999"/>
          <a:ext cx="814892" cy="338667"/>
        </a:xfrm>
        <a:prstGeom prst="rect">
          <a:avLst/>
        </a:prstGeom>
        <a:solidFill>
          <a:srgbClr val="66CCFF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lIns="0" tIns="0" rIns="0" bIns="0" rtlCol="0" anchor="t"/>
        <a:lstStyle/>
        <a:p>
          <a:endParaRPr lang="ja-JP" altLang="en-US"/>
        </a:p>
      </xdr:txBody>
    </xdr:sp>
    <xdr:clientData/>
  </xdr:twoCellAnchor>
  <xdr:twoCellAnchor>
    <xdr:from>
      <xdr:col>38</xdr:col>
      <xdr:colOff>0</xdr:colOff>
      <xdr:row>38</xdr:row>
      <xdr:rowOff>0</xdr:rowOff>
    </xdr:from>
    <xdr:to>
      <xdr:col>40</xdr:col>
      <xdr:colOff>190500</xdr:colOff>
      <xdr:row>40</xdr:row>
      <xdr:rowOff>0</xdr:rowOff>
    </xdr:to>
    <xdr:sp macro="" textlink="">
      <xdr:nvSpPr>
        <xdr:cNvPr id="7" name="テキスト ボックス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 txBox="1"/>
      </xdr:nvSpPr>
      <xdr:spPr>
        <a:xfrm>
          <a:off x="6836833" y="6307667"/>
          <a:ext cx="592667" cy="338666"/>
        </a:xfrm>
        <a:prstGeom prst="rect">
          <a:avLst/>
        </a:prstGeom>
        <a:solidFill>
          <a:srgbClr val="66CCFF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lIns="0" tIns="0" rIns="0" bIns="0" rtlCol="0" anchor="t"/>
        <a:lstStyle/>
        <a:p>
          <a:endParaRPr lang="ja-JP" altLang="en-US"/>
        </a:p>
      </xdr:txBody>
    </xdr:sp>
    <xdr:clientData/>
  </xdr:twoCellAnchor>
  <xdr:twoCellAnchor>
    <xdr:from>
      <xdr:col>40</xdr:col>
      <xdr:colOff>0</xdr:colOff>
      <xdr:row>45</xdr:row>
      <xdr:rowOff>169332</xdr:rowOff>
    </xdr:from>
    <xdr:to>
      <xdr:col>42</xdr:col>
      <xdr:colOff>21167</xdr:colOff>
      <xdr:row>47</xdr:row>
      <xdr:rowOff>169332</xdr:rowOff>
    </xdr:to>
    <xdr:sp macro="" textlink="">
      <xdr:nvSpPr>
        <xdr:cNvPr id="8" name="テキスト ボックス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 txBox="1"/>
      </xdr:nvSpPr>
      <xdr:spPr>
        <a:xfrm>
          <a:off x="7239000" y="7662332"/>
          <a:ext cx="423334" cy="338667"/>
        </a:xfrm>
        <a:prstGeom prst="rect">
          <a:avLst/>
        </a:prstGeom>
        <a:solidFill>
          <a:srgbClr val="66CCFF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lIns="0" tIns="0" rIns="0" bIns="0" rtlCol="0" anchor="t"/>
        <a:lstStyle/>
        <a:p>
          <a:endParaRPr lang="ja-JP" altLang="en-US"/>
        </a:p>
      </xdr:txBody>
    </xdr:sp>
    <xdr:clientData/>
  </xdr:twoCellAnchor>
  <xdr:twoCellAnchor>
    <xdr:from>
      <xdr:col>35</xdr:col>
      <xdr:colOff>201046</xdr:colOff>
      <xdr:row>24</xdr:row>
      <xdr:rowOff>0</xdr:rowOff>
    </xdr:from>
    <xdr:to>
      <xdr:col>37</xdr:col>
      <xdr:colOff>100504</xdr:colOff>
      <xdr:row>30</xdr:row>
      <xdr:rowOff>0</xdr:rowOff>
    </xdr:to>
    <xdr:cxnSp macro="">
      <xdr:nvCxnSpPr>
        <xdr:cNvPr id="12" name="図形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CxnSpPr>
          <a:stCxn id="5" idx="3"/>
        </xdr:cNvCxnSpPr>
      </xdr:nvCxnSpPr>
      <xdr:spPr>
        <a:xfrm>
          <a:off x="6434629" y="3937000"/>
          <a:ext cx="301625" cy="1016000"/>
        </a:xfrm>
        <a:prstGeom prst="bentConnector2">
          <a:avLst/>
        </a:prstGeom>
        <a:ln>
          <a:tailEnd type="arrow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10557</xdr:colOff>
      <xdr:row>31</xdr:row>
      <xdr:rowOff>0</xdr:rowOff>
    </xdr:from>
    <xdr:to>
      <xdr:col>40</xdr:col>
      <xdr:colOff>111099</xdr:colOff>
      <xdr:row>38</xdr:row>
      <xdr:rowOff>0</xdr:rowOff>
    </xdr:to>
    <xdr:cxnSp macro="">
      <xdr:nvCxnSpPr>
        <xdr:cNvPr id="14" name="図形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CxnSpPr>
          <a:stCxn id="6" idx="3"/>
        </xdr:cNvCxnSpPr>
      </xdr:nvCxnSpPr>
      <xdr:spPr>
        <a:xfrm>
          <a:off x="7249557" y="5122333"/>
          <a:ext cx="100542" cy="1185334"/>
        </a:xfrm>
        <a:prstGeom prst="bentConnector2">
          <a:avLst/>
        </a:prstGeom>
        <a:ln>
          <a:tailEnd type="arrow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190500</xdr:colOff>
      <xdr:row>39</xdr:row>
      <xdr:rowOff>0</xdr:rowOff>
    </xdr:from>
    <xdr:to>
      <xdr:col>41</xdr:col>
      <xdr:colOff>127000</xdr:colOff>
      <xdr:row>45</xdr:row>
      <xdr:rowOff>137583</xdr:rowOff>
    </xdr:to>
    <xdr:cxnSp macro="">
      <xdr:nvCxnSpPr>
        <xdr:cNvPr id="18" name="図形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CxnSpPr>
          <a:stCxn id="7" idx="3"/>
        </xdr:cNvCxnSpPr>
      </xdr:nvCxnSpPr>
      <xdr:spPr>
        <a:xfrm>
          <a:off x="7429500" y="6477000"/>
          <a:ext cx="137583" cy="1153583"/>
        </a:xfrm>
        <a:prstGeom prst="bentConnector2">
          <a:avLst/>
        </a:prstGeom>
        <a:ln>
          <a:tailEnd type="arrow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21166</xdr:colOff>
      <xdr:row>11</xdr:row>
      <xdr:rowOff>0</xdr:rowOff>
    </xdr:from>
    <xdr:to>
      <xdr:col>50</xdr:col>
      <xdr:colOff>1</xdr:colOff>
      <xdr:row>14</xdr:row>
      <xdr:rowOff>0</xdr:rowOff>
    </xdr:to>
    <xdr:sp macro="" textlink="">
      <xdr:nvSpPr>
        <xdr:cNvPr id="16" name="右矢印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2836333" y="1566333"/>
          <a:ext cx="6413501" cy="508000"/>
        </a:xfrm>
        <a:prstGeom prst="rightArrow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kumimoji="1" lang="ja-JP" altLang="en-US" sz="1100"/>
            <a:t>結合環境</a:t>
          </a:r>
        </a:p>
      </xdr:txBody>
    </xdr:sp>
    <xdr:clientData/>
  </xdr:twoCellAnchor>
  <xdr:twoCellAnchor>
    <xdr:from>
      <xdr:col>36</xdr:col>
      <xdr:colOff>0</xdr:colOff>
      <xdr:row>10</xdr:row>
      <xdr:rowOff>0</xdr:rowOff>
    </xdr:from>
    <xdr:to>
      <xdr:col>36</xdr:col>
      <xdr:colOff>0</xdr:colOff>
      <xdr:row>15</xdr:row>
      <xdr:rowOff>0</xdr:rowOff>
    </xdr:to>
    <xdr:cxnSp macro="">
      <xdr:nvCxnSpPr>
        <xdr:cNvPr id="13" name="直線コネクタ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CxnSpPr/>
      </xdr:nvCxnSpPr>
      <xdr:spPr>
        <a:xfrm>
          <a:off x="6434667" y="1566333"/>
          <a:ext cx="0" cy="846667"/>
        </a:xfrm>
        <a:prstGeom prst="line">
          <a:avLst/>
        </a:prstGeom>
        <a:ln w="190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0</xdr:colOff>
      <xdr:row>15</xdr:row>
      <xdr:rowOff>0</xdr:rowOff>
    </xdr:from>
    <xdr:to>
      <xdr:col>36</xdr:col>
      <xdr:colOff>2</xdr:colOff>
      <xdr:row>16</xdr:row>
      <xdr:rowOff>0</xdr:rowOff>
    </xdr:to>
    <xdr:cxnSp macro="">
      <xdr:nvCxnSpPr>
        <xdr:cNvPr id="20" name="直線コネクタ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CxnSpPr/>
      </xdr:nvCxnSpPr>
      <xdr:spPr>
        <a:xfrm flipH="1">
          <a:off x="5228167" y="2413000"/>
          <a:ext cx="1206502" cy="169333"/>
        </a:xfrm>
        <a:prstGeom prst="line">
          <a:avLst/>
        </a:prstGeom>
        <a:ln w="190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190500</xdr:colOff>
      <xdr:row>16</xdr:row>
      <xdr:rowOff>1</xdr:rowOff>
    </xdr:from>
    <xdr:to>
      <xdr:col>35</xdr:col>
      <xdr:colOff>100542</xdr:colOff>
      <xdr:row>23</xdr:row>
      <xdr:rowOff>0</xdr:rowOff>
    </xdr:to>
    <xdr:cxnSp macro="">
      <xdr:nvCxnSpPr>
        <xdr:cNvPr id="25" name="図形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CxnSpPr>
          <a:stCxn id="4" idx="3"/>
        </xdr:cNvCxnSpPr>
      </xdr:nvCxnSpPr>
      <xdr:spPr>
        <a:xfrm>
          <a:off x="6021917" y="2582334"/>
          <a:ext cx="312208" cy="1185333"/>
        </a:xfrm>
        <a:prstGeom prst="bentConnector2">
          <a:avLst/>
        </a:prstGeom>
        <a:ln>
          <a:tailEnd type="arrow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0</xdr:colOff>
      <xdr:row>16</xdr:row>
      <xdr:rowOff>0</xdr:rowOff>
    </xdr:from>
    <xdr:to>
      <xdr:col>36</xdr:col>
      <xdr:colOff>0</xdr:colOff>
      <xdr:row>17</xdr:row>
      <xdr:rowOff>0</xdr:rowOff>
    </xdr:to>
    <xdr:cxnSp macro="">
      <xdr:nvCxnSpPr>
        <xdr:cNvPr id="31" name="直線コネクタ 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CxnSpPr/>
      </xdr:nvCxnSpPr>
      <xdr:spPr>
        <a:xfrm>
          <a:off x="5228167" y="2582333"/>
          <a:ext cx="1206500" cy="169334"/>
        </a:xfrm>
        <a:prstGeom prst="line">
          <a:avLst/>
        </a:prstGeom>
        <a:ln w="190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0</xdr:colOff>
      <xdr:row>17</xdr:row>
      <xdr:rowOff>0</xdr:rowOff>
    </xdr:from>
    <xdr:to>
      <xdr:col>36</xdr:col>
      <xdr:colOff>0</xdr:colOff>
      <xdr:row>23</xdr:row>
      <xdr:rowOff>0</xdr:rowOff>
    </xdr:to>
    <xdr:cxnSp macro="">
      <xdr:nvCxnSpPr>
        <xdr:cNvPr id="32" name="直線コネクタ 31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CxnSpPr/>
      </xdr:nvCxnSpPr>
      <xdr:spPr>
        <a:xfrm>
          <a:off x="6434667" y="2751667"/>
          <a:ext cx="0" cy="1016000"/>
        </a:xfrm>
        <a:prstGeom prst="line">
          <a:avLst/>
        </a:prstGeom>
        <a:ln w="190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0</xdr:colOff>
      <xdr:row>10</xdr:row>
      <xdr:rowOff>0</xdr:rowOff>
    </xdr:from>
    <xdr:to>
      <xdr:col>38</xdr:col>
      <xdr:colOff>0</xdr:colOff>
      <xdr:row>15</xdr:row>
      <xdr:rowOff>0</xdr:rowOff>
    </xdr:to>
    <xdr:cxnSp macro="">
      <xdr:nvCxnSpPr>
        <xdr:cNvPr id="36" name="直線コネクタ 35"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CxnSpPr/>
      </xdr:nvCxnSpPr>
      <xdr:spPr>
        <a:xfrm>
          <a:off x="6836833" y="1566333"/>
          <a:ext cx="0" cy="846667"/>
        </a:xfrm>
        <a:prstGeom prst="line">
          <a:avLst/>
        </a:prstGeom>
        <a:ln w="190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0</xdr:colOff>
      <xdr:row>15</xdr:row>
      <xdr:rowOff>0</xdr:rowOff>
    </xdr:from>
    <xdr:to>
      <xdr:col>38</xdr:col>
      <xdr:colOff>2</xdr:colOff>
      <xdr:row>16</xdr:row>
      <xdr:rowOff>0</xdr:rowOff>
    </xdr:to>
    <xdr:cxnSp macro="">
      <xdr:nvCxnSpPr>
        <xdr:cNvPr id="37" name="直線コネクタ 36">
          <a:extLs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CxnSpPr/>
      </xdr:nvCxnSpPr>
      <xdr:spPr>
        <a:xfrm flipH="1">
          <a:off x="5630333" y="2413000"/>
          <a:ext cx="1206502" cy="169333"/>
        </a:xfrm>
        <a:prstGeom prst="line">
          <a:avLst/>
        </a:prstGeom>
        <a:ln w="190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0</xdr:colOff>
      <xdr:row>16</xdr:row>
      <xdr:rowOff>0</xdr:rowOff>
    </xdr:from>
    <xdr:to>
      <xdr:col>38</xdr:col>
      <xdr:colOff>0</xdr:colOff>
      <xdr:row>17</xdr:row>
      <xdr:rowOff>0</xdr:rowOff>
    </xdr:to>
    <xdr:cxnSp macro="">
      <xdr:nvCxnSpPr>
        <xdr:cNvPr id="38" name="直線コネクタ 37">
          <a:extLs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CxnSpPr/>
      </xdr:nvCxnSpPr>
      <xdr:spPr>
        <a:xfrm>
          <a:off x="5630333" y="2582333"/>
          <a:ext cx="1206500" cy="169334"/>
        </a:xfrm>
        <a:prstGeom prst="line">
          <a:avLst/>
        </a:prstGeom>
        <a:ln w="190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201046</xdr:colOff>
      <xdr:row>23</xdr:row>
      <xdr:rowOff>0</xdr:rowOff>
    </xdr:from>
    <xdr:to>
      <xdr:col>36</xdr:col>
      <xdr:colOff>0</xdr:colOff>
      <xdr:row>24</xdr:row>
      <xdr:rowOff>0</xdr:rowOff>
    </xdr:to>
    <xdr:cxnSp macro="">
      <xdr:nvCxnSpPr>
        <xdr:cNvPr id="42" name="直線コネクタ 41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CxnSpPr>
          <a:endCxn id="5" idx="1"/>
        </xdr:cNvCxnSpPr>
      </xdr:nvCxnSpPr>
      <xdr:spPr>
        <a:xfrm flipH="1">
          <a:off x="5630296" y="3767667"/>
          <a:ext cx="804371" cy="169333"/>
        </a:xfrm>
        <a:prstGeom prst="line">
          <a:avLst/>
        </a:prstGeom>
        <a:ln w="190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201046</xdr:colOff>
      <xdr:row>24</xdr:row>
      <xdr:rowOff>0</xdr:rowOff>
    </xdr:from>
    <xdr:to>
      <xdr:col>36</xdr:col>
      <xdr:colOff>0</xdr:colOff>
      <xdr:row>25</xdr:row>
      <xdr:rowOff>0</xdr:rowOff>
    </xdr:to>
    <xdr:cxnSp macro="">
      <xdr:nvCxnSpPr>
        <xdr:cNvPr id="45" name="直線コネクタ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CxnSpPr>
          <a:endCxn id="5" idx="1"/>
        </xdr:cNvCxnSpPr>
      </xdr:nvCxnSpPr>
      <xdr:spPr>
        <a:xfrm flipH="1" flipV="1">
          <a:off x="5630296" y="3937000"/>
          <a:ext cx="804371" cy="169333"/>
        </a:xfrm>
        <a:prstGeom prst="line">
          <a:avLst/>
        </a:prstGeom>
        <a:ln w="190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0</xdr:colOff>
      <xdr:row>25</xdr:row>
      <xdr:rowOff>2</xdr:rowOff>
    </xdr:from>
    <xdr:to>
      <xdr:col>36</xdr:col>
      <xdr:colOff>1</xdr:colOff>
      <xdr:row>54</xdr:row>
      <xdr:rowOff>0</xdr:rowOff>
    </xdr:to>
    <xdr:cxnSp macro="">
      <xdr:nvCxnSpPr>
        <xdr:cNvPr id="48" name="直線コネクタ 47">
          <a:extLst>
            <a:ext uri="{FF2B5EF4-FFF2-40B4-BE49-F238E27FC236}">
              <a16:creationId xmlns:a16="http://schemas.microsoft.com/office/drawing/2014/main" id="{00000000-0008-0000-0100-000030000000}"/>
            </a:ext>
          </a:extLst>
        </xdr:cNvPr>
        <xdr:cNvCxnSpPr/>
      </xdr:nvCxnSpPr>
      <xdr:spPr>
        <a:xfrm flipV="1">
          <a:off x="6434667" y="4106335"/>
          <a:ext cx="1" cy="4910665"/>
        </a:xfrm>
        <a:prstGeom prst="line">
          <a:avLst/>
        </a:prstGeom>
        <a:ln w="190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0</xdr:colOff>
      <xdr:row>17</xdr:row>
      <xdr:rowOff>0</xdr:rowOff>
    </xdr:from>
    <xdr:to>
      <xdr:col>38</xdr:col>
      <xdr:colOff>0</xdr:colOff>
      <xdr:row>23</xdr:row>
      <xdr:rowOff>0</xdr:rowOff>
    </xdr:to>
    <xdr:cxnSp macro="">
      <xdr:nvCxnSpPr>
        <xdr:cNvPr id="52" name="直線コネクタ 51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CxnSpPr/>
      </xdr:nvCxnSpPr>
      <xdr:spPr>
        <a:xfrm>
          <a:off x="6836833" y="2751667"/>
          <a:ext cx="0" cy="1016000"/>
        </a:xfrm>
        <a:prstGeom prst="line">
          <a:avLst/>
        </a:prstGeom>
        <a:ln w="190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201044</xdr:colOff>
      <xdr:row>22</xdr:row>
      <xdr:rowOff>169332</xdr:rowOff>
    </xdr:from>
    <xdr:to>
      <xdr:col>37</xdr:col>
      <xdr:colOff>201082</xdr:colOff>
      <xdr:row>23</xdr:row>
      <xdr:rowOff>169331</xdr:rowOff>
    </xdr:to>
    <xdr:cxnSp macro="">
      <xdr:nvCxnSpPr>
        <xdr:cNvPr id="53" name="直線コネクタ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CxnSpPr/>
      </xdr:nvCxnSpPr>
      <xdr:spPr>
        <a:xfrm flipH="1">
          <a:off x="6032461" y="3767665"/>
          <a:ext cx="804371" cy="169333"/>
        </a:xfrm>
        <a:prstGeom prst="line">
          <a:avLst/>
        </a:prstGeom>
        <a:ln w="190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201044</xdr:colOff>
      <xdr:row>23</xdr:row>
      <xdr:rowOff>169331</xdr:rowOff>
    </xdr:from>
    <xdr:to>
      <xdr:col>37</xdr:col>
      <xdr:colOff>201082</xdr:colOff>
      <xdr:row>24</xdr:row>
      <xdr:rowOff>169331</xdr:rowOff>
    </xdr:to>
    <xdr:cxnSp macro="">
      <xdr:nvCxnSpPr>
        <xdr:cNvPr id="54" name="直線コネクタ 53">
          <a:extLst>
            <a:ext uri="{FF2B5EF4-FFF2-40B4-BE49-F238E27FC236}">
              <a16:creationId xmlns:a16="http://schemas.microsoft.com/office/drawing/2014/main" id="{00000000-0008-0000-0100-000036000000}"/>
            </a:ext>
          </a:extLst>
        </xdr:cNvPr>
        <xdr:cNvCxnSpPr/>
      </xdr:nvCxnSpPr>
      <xdr:spPr>
        <a:xfrm flipH="1" flipV="1">
          <a:off x="6032461" y="3936998"/>
          <a:ext cx="804371" cy="169333"/>
        </a:xfrm>
        <a:prstGeom prst="line">
          <a:avLst/>
        </a:prstGeom>
        <a:ln w="190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0</xdr:colOff>
      <xdr:row>25</xdr:row>
      <xdr:rowOff>2</xdr:rowOff>
    </xdr:from>
    <xdr:to>
      <xdr:col>38</xdr:col>
      <xdr:colOff>5278</xdr:colOff>
      <xdr:row>29</xdr:row>
      <xdr:rowOff>169332</xdr:rowOff>
    </xdr:to>
    <xdr:cxnSp macro="">
      <xdr:nvCxnSpPr>
        <xdr:cNvPr id="55" name="直線コネクタ 54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CxnSpPr>
          <a:stCxn id="6" idx="0"/>
        </xdr:cNvCxnSpPr>
      </xdr:nvCxnSpPr>
      <xdr:spPr>
        <a:xfrm flipH="1" flipV="1">
          <a:off x="6836833" y="4106335"/>
          <a:ext cx="5278" cy="846664"/>
        </a:xfrm>
        <a:prstGeom prst="line">
          <a:avLst/>
        </a:prstGeom>
        <a:ln w="190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201082</xdr:colOff>
      <xdr:row>29</xdr:row>
      <xdr:rowOff>169332</xdr:rowOff>
    </xdr:from>
    <xdr:to>
      <xdr:col>38</xdr:col>
      <xdr:colOff>5278</xdr:colOff>
      <xdr:row>31</xdr:row>
      <xdr:rowOff>0</xdr:rowOff>
    </xdr:to>
    <xdr:cxnSp macro="">
      <xdr:nvCxnSpPr>
        <xdr:cNvPr id="59" name="直線コネクタ 58">
          <a:extLst>
            <a:ext uri="{FF2B5EF4-FFF2-40B4-BE49-F238E27FC236}">
              <a16:creationId xmlns:a16="http://schemas.microsoft.com/office/drawing/2014/main" id="{00000000-0008-0000-0100-00003B000000}"/>
            </a:ext>
          </a:extLst>
        </xdr:cNvPr>
        <xdr:cNvCxnSpPr>
          <a:stCxn id="6" idx="0"/>
          <a:endCxn id="6" idx="1"/>
        </xdr:cNvCxnSpPr>
      </xdr:nvCxnSpPr>
      <xdr:spPr>
        <a:xfrm flipH="1">
          <a:off x="6434665" y="4952999"/>
          <a:ext cx="407446" cy="169334"/>
        </a:xfrm>
        <a:prstGeom prst="line">
          <a:avLst/>
        </a:prstGeom>
        <a:ln w="190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201082</xdr:colOff>
      <xdr:row>31</xdr:row>
      <xdr:rowOff>0</xdr:rowOff>
    </xdr:from>
    <xdr:to>
      <xdr:col>38</xdr:col>
      <xdr:colOff>5278</xdr:colOff>
      <xdr:row>31</xdr:row>
      <xdr:rowOff>169333</xdr:rowOff>
    </xdr:to>
    <xdr:cxnSp macro="">
      <xdr:nvCxnSpPr>
        <xdr:cNvPr id="62" name="直線コネクタ 61">
          <a:extLst>
            <a:ext uri="{FF2B5EF4-FFF2-40B4-BE49-F238E27FC236}">
              <a16:creationId xmlns:a16="http://schemas.microsoft.com/office/drawing/2014/main" id="{00000000-0008-0000-0100-00003E000000}"/>
            </a:ext>
          </a:extLst>
        </xdr:cNvPr>
        <xdr:cNvCxnSpPr>
          <a:stCxn id="6" idx="2"/>
          <a:endCxn id="6" idx="1"/>
        </xdr:cNvCxnSpPr>
      </xdr:nvCxnSpPr>
      <xdr:spPr>
        <a:xfrm flipH="1" flipV="1">
          <a:off x="6434665" y="5122333"/>
          <a:ext cx="407446" cy="169333"/>
        </a:xfrm>
        <a:prstGeom prst="line">
          <a:avLst/>
        </a:prstGeom>
        <a:ln w="190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195805</xdr:colOff>
      <xdr:row>32</xdr:row>
      <xdr:rowOff>2</xdr:rowOff>
    </xdr:from>
    <xdr:to>
      <xdr:col>38</xdr:col>
      <xdr:colOff>0</xdr:colOff>
      <xdr:row>54</xdr:row>
      <xdr:rowOff>0</xdr:rowOff>
    </xdr:to>
    <xdr:cxnSp macro="">
      <xdr:nvCxnSpPr>
        <xdr:cNvPr id="65" name="直線コネクタ 64">
          <a:extLst>
            <a:ext uri="{FF2B5EF4-FFF2-40B4-BE49-F238E27FC236}">
              <a16:creationId xmlns:a16="http://schemas.microsoft.com/office/drawing/2014/main" id="{00000000-0008-0000-0100-000041000000}"/>
            </a:ext>
          </a:extLst>
        </xdr:cNvPr>
        <xdr:cNvCxnSpPr/>
      </xdr:nvCxnSpPr>
      <xdr:spPr>
        <a:xfrm flipH="1" flipV="1">
          <a:off x="6831555" y="5291669"/>
          <a:ext cx="5278" cy="3725331"/>
        </a:xfrm>
        <a:prstGeom prst="line">
          <a:avLst/>
        </a:prstGeom>
        <a:ln w="190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0</xdr:colOff>
      <xdr:row>10</xdr:row>
      <xdr:rowOff>0</xdr:rowOff>
    </xdr:from>
    <xdr:to>
      <xdr:col>40</xdr:col>
      <xdr:colOff>0</xdr:colOff>
      <xdr:row>15</xdr:row>
      <xdr:rowOff>0</xdr:rowOff>
    </xdr:to>
    <xdr:cxnSp macro="">
      <xdr:nvCxnSpPr>
        <xdr:cNvPr id="29" name="直線コネクタ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CxnSpPr/>
      </xdr:nvCxnSpPr>
      <xdr:spPr>
        <a:xfrm>
          <a:off x="7239000" y="1566333"/>
          <a:ext cx="0" cy="846667"/>
        </a:xfrm>
        <a:prstGeom prst="line">
          <a:avLst/>
        </a:prstGeom>
        <a:ln w="190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0</xdr:colOff>
      <xdr:row>15</xdr:row>
      <xdr:rowOff>0</xdr:rowOff>
    </xdr:from>
    <xdr:to>
      <xdr:col>40</xdr:col>
      <xdr:colOff>2</xdr:colOff>
      <xdr:row>16</xdr:row>
      <xdr:rowOff>0</xdr:rowOff>
    </xdr:to>
    <xdr:cxnSp macro="">
      <xdr:nvCxnSpPr>
        <xdr:cNvPr id="30" name="直線コネクタ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CxnSpPr/>
      </xdr:nvCxnSpPr>
      <xdr:spPr>
        <a:xfrm flipH="1">
          <a:off x="6032500" y="2413000"/>
          <a:ext cx="1206502" cy="169333"/>
        </a:xfrm>
        <a:prstGeom prst="line">
          <a:avLst/>
        </a:prstGeom>
        <a:ln w="190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0</xdr:colOff>
      <xdr:row>16</xdr:row>
      <xdr:rowOff>0</xdr:rowOff>
    </xdr:from>
    <xdr:to>
      <xdr:col>40</xdr:col>
      <xdr:colOff>0</xdr:colOff>
      <xdr:row>17</xdr:row>
      <xdr:rowOff>0</xdr:rowOff>
    </xdr:to>
    <xdr:cxnSp macro="">
      <xdr:nvCxnSpPr>
        <xdr:cNvPr id="33" name="直線コネクタ 32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CxnSpPr/>
      </xdr:nvCxnSpPr>
      <xdr:spPr>
        <a:xfrm>
          <a:off x="6032500" y="2582333"/>
          <a:ext cx="1206500" cy="169334"/>
        </a:xfrm>
        <a:prstGeom prst="line">
          <a:avLst/>
        </a:prstGeom>
        <a:ln w="190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0</xdr:colOff>
      <xdr:row>17</xdr:row>
      <xdr:rowOff>0</xdr:rowOff>
    </xdr:from>
    <xdr:to>
      <xdr:col>40</xdr:col>
      <xdr:colOff>0</xdr:colOff>
      <xdr:row>23</xdr:row>
      <xdr:rowOff>0</xdr:rowOff>
    </xdr:to>
    <xdr:cxnSp macro="">
      <xdr:nvCxnSpPr>
        <xdr:cNvPr id="34" name="直線コネクタ 33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CxnSpPr/>
      </xdr:nvCxnSpPr>
      <xdr:spPr>
        <a:xfrm>
          <a:off x="7239000" y="2751667"/>
          <a:ext cx="0" cy="1016000"/>
        </a:xfrm>
        <a:prstGeom prst="line">
          <a:avLst/>
        </a:prstGeom>
        <a:ln w="190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201045</xdr:colOff>
      <xdr:row>22</xdr:row>
      <xdr:rowOff>169332</xdr:rowOff>
    </xdr:from>
    <xdr:to>
      <xdr:col>39</xdr:col>
      <xdr:colOff>201082</xdr:colOff>
      <xdr:row>23</xdr:row>
      <xdr:rowOff>169331</xdr:rowOff>
    </xdr:to>
    <xdr:cxnSp macro="">
      <xdr:nvCxnSpPr>
        <xdr:cNvPr id="35" name="直線コネクタ 34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CxnSpPr/>
      </xdr:nvCxnSpPr>
      <xdr:spPr>
        <a:xfrm flipH="1">
          <a:off x="6434628" y="3767665"/>
          <a:ext cx="804371" cy="169333"/>
        </a:xfrm>
        <a:prstGeom prst="line">
          <a:avLst/>
        </a:prstGeom>
        <a:ln w="190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201045</xdr:colOff>
      <xdr:row>23</xdr:row>
      <xdr:rowOff>169331</xdr:rowOff>
    </xdr:from>
    <xdr:to>
      <xdr:col>39</xdr:col>
      <xdr:colOff>201082</xdr:colOff>
      <xdr:row>24</xdr:row>
      <xdr:rowOff>169331</xdr:rowOff>
    </xdr:to>
    <xdr:cxnSp macro="">
      <xdr:nvCxnSpPr>
        <xdr:cNvPr id="39" name="直線コネクタ 38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CxnSpPr/>
      </xdr:nvCxnSpPr>
      <xdr:spPr>
        <a:xfrm flipH="1" flipV="1">
          <a:off x="6434628" y="3936998"/>
          <a:ext cx="804371" cy="169333"/>
        </a:xfrm>
        <a:prstGeom prst="line">
          <a:avLst/>
        </a:prstGeom>
        <a:ln w="190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0</xdr:colOff>
      <xdr:row>25</xdr:row>
      <xdr:rowOff>2</xdr:rowOff>
    </xdr:from>
    <xdr:to>
      <xdr:col>40</xdr:col>
      <xdr:colOff>5278</xdr:colOff>
      <xdr:row>29</xdr:row>
      <xdr:rowOff>169332</xdr:rowOff>
    </xdr:to>
    <xdr:cxnSp macro="">
      <xdr:nvCxnSpPr>
        <xdr:cNvPr id="40" name="直線コネクタ 39">
          <a:extLs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CxnSpPr/>
      </xdr:nvCxnSpPr>
      <xdr:spPr>
        <a:xfrm flipH="1" flipV="1">
          <a:off x="7239000" y="4106335"/>
          <a:ext cx="5278" cy="846664"/>
        </a:xfrm>
        <a:prstGeom prst="line">
          <a:avLst/>
        </a:prstGeom>
        <a:ln w="190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201082</xdr:colOff>
      <xdr:row>29</xdr:row>
      <xdr:rowOff>169332</xdr:rowOff>
    </xdr:from>
    <xdr:to>
      <xdr:col>40</xdr:col>
      <xdr:colOff>5278</xdr:colOff>
      <xdr:row>31</xdr:row>
      <xdr:rowOff>0</xdr:rowOff>
    </xdr:to>
    <xdr:cxnSp macro="">
      <xdr:nvCxnSpPr>
        <xdr:cNvPr id="41" name="直線コネクタ 40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CxnSpPr/>
      </xdr:nvCxnSpPr>
      <xdr:spPr>
        <a:xfrm flipH="1">
          <a:off x="6836832" y="4952999"/>
          <a:ext cx="407446" cy="169334"/>
        </a:xfrm>
        <a:prstGeom prst="line">
          <a:avLst/>
        </a:prstGeom>
        <a:ln w="190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201082</xdr:colOff>
      <xdr:row>31</xdr:row>
      <xdr:rowOff>0</xdr:rowOff>
    </xdr:from>
    <xdr:to>
      <xdr:col>40</xdr:col>
      <xdr:colOff>5278</xdr:colOff>
      <xdr:row>31</xdr:row>
      <xdr:rowOff>169333</xdr:rowOff>
    </xdr:to>
    <xdr:cxnSp macro="">
      <xdr:nvCxnSpPr>
        <xdr:cNvPr id="43" name="直線コネクタ 42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CxnSpPr/>
      </xdr:nvCxnSpPr>
      <xdr:spPr>
        <a:xfrm flipH="1" flipV="1">
          <a:off x="6836832" y="5122333"/>
          <a:ext cx="407446" cy="169333"/>
        </a:xfrm>
        <a:prstGeom prst="line">
          <a:avLst/>
        </a:prstGeom>
        <a:ln w="190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195805</xdr:colOff>
      <xdr:row>32</xdr:row>
      <xdr:rowOff>3</xdr:rowOff>
    </xdr:from>
    <xdr:to>
      <xdr:col>40</xdr:col>
      <xdr:colOff>0</xdr:colOff>
      <xdr:row>38</xdr:row>
      <xdr:rowOff>0</xdr:rowOff>
    </xdr:to>
    <xdr:cxnSp macro="">
      <xdr:nvCxnSpPr>
        <xdr:cNvPr id="44" name="直線コネクタ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CxnSpPr/>
      </xdr:nvCxnSpPr>
      <xdr:spPr>
        <a:xfrm flipH="1" flipV="1">
          <a:off x="7233722" y="5291670"/>
          <a:ext cx="5278" cy="1015997"/>
        </a:xfrm>
        <a:prstGeom prst="line">
          <a:avLst/>
        </a:prstGeom>
        <a:ln w="190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0</xdr:colOff>
      <xdr:row>10</xdr:row>
      <xdr:rowOff>0</xdr:rowOff>
    </xdr:from>
    <xdr:to>
      <xdr:col>42</xdr:col>
      <xdr:colOff>0</xdr:colOff>
      <xdr:row>15</xdr:row>
      <xdr:rowOff>0</xdr:rowOff>
    </xdr:to>
    <xdr:cxnSp macro="">
      <xdr:nvCxnSpPr>
        <xdr:cNvPr id="46" name="直線コネクタ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CxnSpPr/>
      </xdr:nvCxnSpPr>
      <xdr:spPr>
        <a:xfrm>
          <a:off x="7641167" y="1566333"/>
          <a:ext cx="0" cy="846667"/>
        </a:xfrm>
        <a:prstGeom prst="line">
          <a:avLst/>
        </a:prstGeom>
        <a:ln w="190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0</xdr:colOff>
      <xdr:row>15</xdr:row>
      <xdr:rowOff>0</xdr:rowOff>
    </xdr:from>
    <xdr:to>
      <xdr:col>42</xdr:col>
      <xdr:colOff>2</xdr:colOff>
      <xdr:row>16</xdr:row>
      <xdr:rowOff>0</xdr:rowOff>
    </xdr:to>
    <xdr:cxnSp macro="">
      <xdr:nvCxnSpPr>
        <xdr:cNvPr id="47" name="直線コネクタ 46">
          <a:extLst>
            <a:ext uri="{FF2B5EF4-FFF2-40B4-BE49-F238E27FC236}">
              <a16:creationId xmlns:a16="http://schemas.microsoft.com/office/drawing/2014/main" id="{00000000-0008-0000-0100-00002F000000}"/>
            </a:ext>
          </a:extLst>
        </xdr:cNvPr>
        <xdr:cNvCxnSpPr/>
      </xdr:nvCxnSpPr>
      <xdr:spPr>
        <a:xfrm flipH="1">
          <a:off x="6434667" y="2413000"/>
          <a:ext cx="1206502" cy="169333"/>
        </a:xfrm>
        <a:prstGeom prst="line">
          <a:avLst/>
        </a:prstGeom>
        <a:ln w="190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0</xdr:colOff>
      <xdr:row>16</xdr:row>
      <xdr:rowOff>0</xdr:rowOff>
    </xdr:from>
    <xdr:to>
      <xdr:col>42</xdr:col>
      <xdr:colOff>0</xdr:colOff>
      <xdr:row>17</xdr:row>
      <xdr:rowOff>0</xdr:rowOff>
    </xdr:to>
    <xdr:cxnSp macro="">
      <xdr:nvCxnSpPr>
        <xdr:cNvPr id="49" name="直線コネクタ 48">
          <a:extLst>
            <a:ext uri="{FF2B5EF4-FFF2-40B4-BE49-F238E27FC236}">
              <a16:creationId xmlns:a16="http://schemas.microsoft.com/office/drawing/2014/main" id="{00000000-0008-0000-0100-000031000000}"/>
            </a:ext>
          </a:extLst>
        </xdr:cNvPr>
        <xdr:cNvCxnSpPr/>
      </xdr:nvCxnSpPr>
      <xdr:spPr>
        <a:xfrm>
          <a:off x="6434667" y="2582333"/>
          <a:ext cx="1206500" cy="169334"/>
        </a:xfrm>
        <a:prstGeom prst="line">
          <a:avLst/>
        </a:prstGeom>
        <a:ln w="190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0</xdr:colOff>
      <xdr:row>17</xdr:row>
      <xdr:rowOff>0</xdr:rowOff>
    </xdr:from>
    <xdr:to>
      <xdr:col>42</xdr:col>
      <xdr:colOff>0</xdr:colOff>
      <xdr:row>23</xdr:row>
      <xdr:rowOff>0</xdr:rowOff>
    </xdr:to>
    <xdr:cxnSp macro="">
      <xdr:nvCxnSpPr>
        <xdr:cNvPr id="50" name="直線コネクタ 49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CxnSpPr/>
      </xdr:nvCxnSpPr>
      <xdr:spPr>
        <a:xfrm>
          <a:off x="7641167" y="2751667"/>
          <a:ext cx="0" cy="1016000"/>
        </a:xfrm>
        <a:prstGeom prst="line">
          <a:avLst/>
        </a:prstGeom>
        <a:ln w="190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201045</xdr:colOff>
      <xdr:row>22</xdr:row>
      <xdr:rowOff>169332</xdr:rowOff>
    </xdr:from>
    <xdr:to>
      <xdr:col>41</xdr:col>
      <xdr:colOff>201083</xdr:colOff>
      <xdr:row>23</xdr:row>
      <xdr:rowOff>169331</xdr:rowOff>
    </xdr:to>
    <xdr:cxnSp macro="">
      <xdr:nvCxnSpPr>
        <xdr:cNvPr id="51" name="直線コネクタ 50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CxnSpPr/>
      </xdr:nvCxnSpPr>
      <xdr:spPr>
        <a:xfrm flipH="1">
          <a:off x="6836795" y="3767665"/>
          <a:ext cx="804371" cy="169333"/>
        </a:xfrm>
        <a:prstGeom prst="line">
          <a:avLst/>
        </a:prstGeom>
        <a:ln w="190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201045</xdr:colOff>
      <xdr:row>23</xdr:row>
      <xdr:rowOff>169331</xdr:rowOff>
    </xdr:from>
    <xdr:to>
      <xdr:col>41</xdr:col>
      <xdr:colOff>201083</xdr:colOff>
      <xdr:row>24</xdr:row>
      <xdr:rowOff>169331</xdr:rowOff>
    </xdr:to>
    <xdr:cxnSp macro="">
      <xdr:nvCxnSpPr>
        <xdr:cNvPr id="56" name="直線コネクタ 55">
          <a:extLst>
            <a:ext uri="{FF2B5EF4-FFF2-40B4-BE49-F238E27FC236}">
              <a16:creationId xmlns:a16="http://schemas.microsoft.com/office/drawing/2014/main" id="{00000000-0008-0000-0100-000038000000}"/>
            </a:ext>
          </a:extLst>
        </xdr:cNvPr>
        <xdr:cNvCxnSpPr/>
      </xdr:nvCxnSpPr>
      <xdr:spPr>
        <a:xfrm flipH="1" flipV="1">
          <a:off x="6836795" y="3936998"/>
          <a:ext cx="804371" cy="169333"/>
        </a:xfrm>
        <a:prstGeom prst="line">
          <a:avLst/>
        </a:prstGeom>
        <a:ln w="190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0</xdr:colOff>
      <xdr:row>25</xdr:row>
      <xdr:rowOff>2</xdr:rowOff>
    </xdr:from>
    <xdr:to>
      <xdr:col>42</xdr:col>
      <xdr:colOff>5278</xdr:colOff>
      <xdr:row>29</xdr:row>
      <xdr:rowOff>169332</xdr:rowOff>
    </xdr:to>
    <xdr:cxnSp macro="">
      <xdr:nvCxnSpPr>
        <xdr:cNvPr id="57" name="直線コネクタ 56">
          <a:extLst>
            <a:ext uri="{FF2B5EF4-FFF2-40B4-BE49-F238E27FC236}">
              <a16:creationId xmlns:a16="http://schemas.microsoft.com/office/drawing/2014/main" id="{00000000-0008-0000-0100-000039000000}"/>
            </a:ext>
          </a:extLst>
        </xdr:cNvPr>
        <xdr:cNvCxnSpPr/>
      </xdr:nvCxnSpPr>
      <xdr:spPr>
        <a:xfrm flipH="1" flipV="1">
          <a:off x="7641167" y="4106335"/>
          <a:ext cx="5278" cy="846664"/>
        </a:xfrm>
        <a:prstGeom prst="line">
          <a:avLst/>
        </a:prstGeom>
        <a:ln w="190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0</xdr:colOff>
      <xdr:row>29</xdr:row>
      <xdr:rowOff>169332</xdr:rowOff>
    </xdr:from>
    <xdr:to>
      <xdr:col>42</xdr:col>
      <xdr:colOff>5278</xdr:colOff>
      <xdr:row>31</xdr:row>
      <xdr:rowOff>0</xdr:rowOff>
    </xdr:to>
    <xdr:cxnSp macro="">
      <xdr:nvCxnSpPr>
        <xdr:cNvPr id="58" name="直線コネクタ 57">
          <a:extLst>
            <a:ext uri="{FF2B5EF4-FFF2-40B4-BE49-F238E27FC236}">
              <a16:creationId xmlns:a16="http://schemas.microsoft.com/office/drawing/2014/main" id="{00000000-0008-0000-0100-00003A000000}"/>
            </a:ext>
          </a:extLst>
        </xdr:cNvPr>
        <xdr:cNvCxnSpPr/>
      </xdr:nvCxnSpPr>
      <xdr:spPr>
        <a:xfrm flipH="1">
          <a:off x="6836833" y="4952999"/>
          <a:ext cx="809612" cy="169334"/>
        </a:xfrm>
        <a:prstGeom prst="line">
          <a:avLst/>
        </a:prstGeom>
        <a:ln w="190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0</xdr:colOff>
      <xdr:row>31</xdr:row>
      <xdr:rowOff>0</xdr:rowOff>
    </xdr:from>
    <xdr:to>
      <xdr:col>42</xdr:col>
      <xdr:colOff>5278</xdr:colOff>
      <xdr:row>32</xdr:row>
      <xdr:rowOff>0</xdr:rowOff>
    </xdr:to>
    <xdr:cxnSp macro="">
      <xdr:nvCxnSpPr>
        <xdr:cNvPr id="60" name="直線コネクタ 59">
          <a:extLst>
            <a:ext uri="{FF2B5EF4-FFF2-40B4-BE49-F238E27FC236}">
              <a16:creationId xmlns:a16="http://schemas.microsoft.com/office/drawing/2014/main" id="{00000000-0008-0000-0100-00003C000000}"/>
            </a:ext>
          </a:extLst>
        </xdr:cNvPr>
        <xdr:cNvCxnSpPr/>
      </xdr:nvCxnSpPr>
      <xdr:spPr>
        <a:xfrm flipH="1" flipV="1">
          <a:off x="6836833" y="5122333"/>
          <a:ext cx="809612" cy="169334"/>
        </a:xfrm>
        <a:prstGeom prst="line">
          <a:avLst/>
        </a:prstGeom>
        <a:ln w="190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195806</xdr:colOff>
      <xdr:row>32</xdr:row>
      <xdr:rowOff>3</xdr:rowOff>
    </xdr:from>
    <xdr:to>
      <xdr:col>42</xdr:col>
      <xdr:colOff>0</xdr:colOff>
      <xdr:row>38</xdr:row>
      <xdr:rowOff>0</xdr:rowOff>
    </xdr:to>
    <xdr:cxnSp macro="">
      <xdr:nvCxnSpPr>
        <xdr:cNvPr id="61" name="直線コネクタ 60">
          <a:extLst>
            <a:ext uri="{FF2B5EF4-FFF2-40B4-BE49-F238E27FC236}">
              <a16:creationId xmlns:a16="http://schemas.microsoft.com/office/drawing/2014/main" id="{00000000-0008-0000-0100-00003D000000}"/>
            </a:ext>
          </a:extLst>
        </xdr:cNvPr>
        <xdr:cNvCxnSpPr/>
      </xdr:nvCxnSpPr>
      <xdr:spPr>
        <a:xfrm flipH="1" flipV="1">
          <a:off x="7635889" y="5291670"/>
          <a:ext cx="5278" cy="1015997"/>
        </a:xfrm>
        <a:prstGeom prst="line">
          <a:avLst/>
        </a:prstGeom>
        <a:ln w="190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0</xdr:colOff>
      <xdr:row>38</xdr:row>
      <xdr:rowOff>0</xdr:rowOff>
    </xdr:from>
    <xdr:to>
      <xdr:col>40</xdr:col>
      <xdr:colOff>5279</xdr:colOff>
      <xdr:row>39</xdr:row>
      <xdr:rowOff>0</xdr:rowOff>
    </xdr:to>
    <xdr:cxnSp macro="">
      <xdr:nvCxnSpPr>
        <xdr:cNvPr id="68" name="直線コネクタ 67">
          <a:extLst>
            <a:ext uri="{FF2B5EF4-FFF2-40B4-BE49-F238E27FC236}">
              <a16:creationId xmlns:a16="http://schemas.microsoft.com/office/drawing/2014/main" id="{00000000-0008-0000-0100-000044000000}"/>
            </a:ext>
          </a:extLst>
        </xdr:cNvPr>
        <xdr:cNvCxnSpPr>
          <a:endCxn id="7" idx="1"/>
        </xdr:cNvCxnSpPr>
      </xdr:nvCxnSpPr>
      <xdr:spPr>
        <a:xfrm flipH="1">
          <a:off x="6836833" y="6307667"/>
          <a:ext cx="407446" cy="169333"/>
        </a:xfrm>
        <a:prstGeom prst="line">
          <a:avLst/>
        </a:prstGeom>
        <a:ln w="190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0</xdr:colOff>
      <xdr:row>39</xdr:row>
      <xdr:rowOff>0</xdr:rowOff>
    </xdr:from>
    <xdr:to>
      <xdr:col>40</xdr:col>
      <xdr:colOff>5279</xdr:colOff>
      <xdr:row>40</xdr:row>
      <xdr:rowOff>3</xdr:rowOff>
    </xdr:to>
    <xdr:cxnSp macro="">
      <xdr:nvCxnSpPr>
        <xdr:cNvPr id="69" name="直線コネクタ 68">
          <a:extLst>
            <a:ext uri="{FF2B5EF4-FFF2-40B4-BE49-F238E27FC236}">
              <a16:creationId xmlns:a16="http://schemas.microsoft.com/office/drawing/2014/main" id="{00000000-0008-0000-0100-000045000000}"/>
            </a:ext>
          </a:extLst>
        </xdr:cNvPr>
        <xdr:cNvCxnSpPr>
          <a:endCxn id="7" idx="1"/>
        </xdr:cNvCxnSpPr>
      </xdr:nvCxnSpPr>
      <xdr:spPr>
        <a:xfrm flipH="1" flipV="1">
          <a:off x="6836833" y="6477000"/>
          <a:ext cx="407446" cy="169336"/>
        </a:xfrm>
        <a:prstGeom prst="line">
          <a:avLst/>
        </a:prstGeom>
        <a:ln w="190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0</xdr:colOff>
      <xdr:row>38</xdr:row>
      <xdr:rowOff>0</xdr:rowOff>
    </xdr:from>
    <xdr:to>
      <xdr:col>42</xdr:col>
      <xdr:colOff>5278</xdr:colOff>
      <xdr:row>39</xdr:row>
      <xdr:rowOff>1</xdr:rowOff>
    </xdr:to>
    <xdr:cxnSp macro="">
      <xdr:nvCxnSpPr>
        <xdr:cNvPr id="74" name="直線コネクタ 73">
          <a:extLst>
            <a:ext uri="{FF2B5EF4-FFF2-40B4-BE49-F238E27FC236}">
              <a16:creationId xmlns:a16="http://schemas.microsoft.com/office/drawing/2014/main" id="{00000000-0008-0000-0100-00004A000000}"/>
            </a:ext>
          </a:extLst>
        </xdr:cNvPr>
        <xdr:cNvCxnSpPr/>
      </xdr:nvCxnSpPr>
      <xdr:spPr>
        <a:xfrm flipH="1">
          <a:off x="6836833" y="6307667"/>
          <a:ext cx="809612" cy="169334"/>
        </a:xfrm>
        <a:prstGeom prst="line">
          <a:avLst/>
        </a:prstGeom>
        <a:ln w="190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0</xdr:colOff>
      <xdr:row>39</xdr:row>
      <xdr:rowOff>1</xdr:rowOff>
    </xdr:from>
    <xdr:to>
      <xdr:col>42</xdr:col>
      <xdr:colOff>5278</xdr:colOff>
      <xdr:row>40</xdr:row>
      <xdr:rowOff>2</xdr:rowOff>
    </xdr:to>
    <xdr:cxnSp macro="">
      <xdr:nvCxnSpPr>
        <xdr:cNvPr id="75" name="直線コネクタ 74">
          <a:extLst>
            <a:ext uri="{FF2B5EF4-FFF2-40B4-BE49-F238E27FC236}">
              <a16:creationId xmlns:a16="http://schemas.microsoft.com/office/drawing/2014/main" id="{00000000-0008-0000-0100-00004B000000}"/>
            </a:ext>
          </a:extLst>
        </xdr:cNvPr>
        <xdr:cNvCxnSpPr/>
      </xdr:nvCxnSpPr>
      <xdr:spPr>
        <a:xfrm flipH="1" flipV="1">
          <a:off x="6836833" y="6477001"/>
          <a:ext cx="809612" cy="169334"/>
        </a:xfrm>
        <a:prstGeom prst="line">
          <a:avLst/>
        </a:prstGeom>
        <a:ln w="190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0</xdr:colOff>
      <xdr:row>40</xdr:row>
      <xdr:rowOff>0</xdr:rowOff>
    </xdr:from>
    <xdr:to>
      <xdr:col>40</xdr:col>
      <xdr:colOff>0</xdr:colOff>
      <xdr:row>53</xdr:row>
      <xdr:rowOff>169331</xdr:rowOff>
    </xdr:to>
    <xdr:cxnSp macro="">
      <xdr:nvCxnSpPr>
        <xdr:cNvPr id="76" name="直線コネクタ 75">
          <a:extLst>
            <a:ext uri="{FF2B5EF4-FFF2-40B4-BE49-F238E27FC236}">
              <a16:creationId xmlns:a16="http://schemas.microsoft.com/office/drawing/2014/main" id="{00000000-0008-0000-0100-00004C000000}"/>
            </a:ext>
          </a:extLst>
        </xdr:cNvPr>
        <xdr:cNvCxnSpPr/>
      </xdr:nvCxnSpPr>
      <xdr:spPr>
        <a:xfrm flipV="1">
          <a:off x="7239000" y="6646333"/>
          <a:ext cx="0" cy="2370665"/>
        </a:xfrm>
        <a:prstGeom prst="line">
          <a:avLst/>
        </a:prstGeom>
        <a:ln w="190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195806</xdr:colOff>
      <xdr:row>40</xdr:row>
      <xdr:rowOff>3</xdr:rowOff>
    </xdr:from>
    <xdr:to>
      <xdr:col>42</xdr:col>
      <xdr:colOff>0</xdr:colOff>
      <xdr:row>46</xdr:row>
      <xdr:rowOff>0</xdr:rowOff>
    </xdr:to>
    <xdr:cxnSp macro="">
      <xdr:nvCxnSpPr>
        <xdr:cNvPr id="77" name="直線コネクタ 76">
          <a:extLst>
            <a:ext uri="{FF2B5EF4-FFF2-40B4-BE49-F238E27FC236}">
              <a16:creationId xmlns:a16="http://schemas.microsoft.com/office/drawing/2014/main" id="{00000000-0008-0000-0100-00004D000000}"/>
            </a:ext>
          </a:extLst>
        </xdr:cNvPr>
        <xdr:cNvCxnSpPr/>
      </xdr:nvCxnSpPr>
      <xdr:spPr>
        <a:xfrm flipH="1" flipV="1">
          <a:off x="7635889" y="6646336"/>
          <a:ext cx="5278" cy="1015997"/>
        </a:xfrm>
        <a:prstGeom prst="line">
          <a:avLst/>
        </a:prstGeom>
        <a:ln w="190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0</xdr:colOff>
      <xdr:row>46</xdr:row>
      <xdr:rowOff>1</xdr:rowOff>
    </xdr:from>
    <xdr:to>
      <xdr:col>42</xdr:col>
      <xdr:colOff>5279</xdr:colOff>
      <xdr:row>47</xdr:row>
      <xdr:rowOff>0</xdr:rowOff>
    </xdr:to>
    <xdr:cxnSp macro="">
      <xdr:nvCxnSpPr>
        <xdr:cNvPr id="78" name="直線コネクタ 77">
          <a:extLst>
            <a:ext uri="{FF2B5EF4-FFF2-40B4-BE49-F238E27FC236}">
              <a16:creationId xmlns:a16="http://schemas.microsoft.com/office/drawing/2014/main" id="{00000000-0008-0000-0100-00004E000000}"/>
            </a:ext>
          </a:extLst>
        </xdr:cNvPr>
        <xdr:cNvCxnSpPr/>
      </xdr:nvCxnSpPr>
      <xdr:spPr>
        <a:xfrm flipH="1">
          <a:off x="7239000" y="7662334"/>
          <a:ext cx="407446" cy="169333"/>
        </a:xfrm>
        <a:prstGeom prst="line">
          <a:avLst/>
        </a:prstGeom>
        <a:ln w="190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0</xdr:colOff>
      <xdr:row>47</xdr:row>
      <xdr:rowOff>0</xdr:rowOff>
    </xdr:from>
    <xdr:to>
      <xdr:col>42</xdr:col>
      <xdr:colOff>5279</xdr:colOff>
      <xdr:row>48</xdr:row>
      <xdr:rowOff>3</xdr:rowOff>
    </xdr:to>
    <xdr:cxnSp macro="">
      <xdr:nvCxnSpPr>
        <xdr:cNvPr id="80" name="直線コネクタ 79">
          <a:extLst>
            <a:ext uri="{FF2B5EF4-FFF2-40B4-BE49-F238E27FC236}">
              <a16:creationId xmlns:a16="http://schemas.microsoft.com/office/drawing/2014/main" id="{00000000-0008-0000-0100-000050000000}"/>
            </a:ext>
          </a:extLst>
        </xdr:cNvPr>
        <xdr:cNvCxnSpPr/>
      </xdr:nvCxnSpPr>
      <xdr:spPr>
        <a:xfrm flipH="1" flipV="1">
          <a:off x="7239000" y="7831667"/>
          <a:ext cx="407446" cy="169336"/>
        </a:xfrm>
        <a:prstGeom prst="line">
          <a:avLst/>
        </a:prstGeom>
        <a:ln w="190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195806</xdr:colOff>
      <xdr:row>48</xdr:row>
      <xdr:rowOff>3</xdr:rowOff>
    </xdr:from>
    <xdr:to>
      <xdr:col>42</xdr:col>
      <xdr:colOff>0</xdr:colOff>
      <xdr:row>54</xdr:row>
      <xdr:rowOff>0</xdr:rowOff>
    </xdr:to>
    <xdr:cxnSp macro="">
      <xdr:nvCxnSpPr>
        <xdr:cNvPr id="81" name="直線コネクタ 80">
          <a:extLst>
            <a:ext uri="{FF2B5EF4-FFF2-40B4-BE49-F238E27FC236}">
              <a16:creationId xmlns:a16="http://schemas.microsoft.com/office/drawing/2014/main" id="{00000000-0008-0000-0100-000051000000}"/>
            </a:ext>
          </a:extLst>
        </xdr:cNvPr>
        <xdr:cNvCxnSpPr/>
      </xdr:nvCxnSpPr>
      <xdr:spPr>
        <a:xfrm flipH="1" flipV="1">
          <a:off x="7635889" y="8001003"/>
          <a:ext cx="5278" cy="1015997"/>
        </a:xfrm>
        <a:prstGeom prst="line">
          <a:avLst/>
        </a:prstGeom>
        <a:ln w="190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V27"/>
  <sheetViews>
    <sheetView tabSelected="1" view="pageBreakPreview" zoomScale="90" zoomScaleNormal="100" zoomScaleSheetLayoutView="90" workbookViewId="0"/>
  </sheetViews>
  <sheetFormatPr defaultColWidth="9" defaultRowHeight="13.2"/>
  <cols>
    <col min="1" max="1" width="1.88671875" style="97" customWidth="1"/>
    <col min="2" max="2" width="3.44140625" style="97" customWidth="1"/>
    <col min="3" max="3" width="12.109375" style="100" bestFit="1" customWidth="1"/>
    <col min="4" max="4" width="12.109375" style="99" customWidth="1"/>
    <col min="5" max="5" width="21.109375" style="97" customWidth="1"/>
    <col min="6" max="6" width="43.21875" style="98" customWidth="1"/>
    <col min="7" max="7" width="47.6640625" style="98" customWidth="1"/>
    <col min="8" max="8" width="30.109375" style="98" customWidth="1"/>
    <col min="9" max="9" width="1.33203125" style="97" customWidth="1"/>
    <col min="10" max="16384" width="9" style="97"/>
  </cols>
  <sheetData>
    <row r="1" spans="1:22" s="121" customFormat="1" ht="4.5" customHeight="1" thickBot="1">
      <c r="A1" s="127"/>
      <c r="B1" s="160" t="str" cm="1">
        <f t="array" aca="1" ref="B1" ca="1">MID(CELL("filename",$A$1), FIND("[",CELL("filename",$A$1)) +1,  FIND("]",CELL("filename",$A$1))  -  FIND("[",CELL("filename",$A$1))  - 6 )</f>
        <v>SCR2200_帳票_処理状況照会_動作確認_シナリオ</v>
      </c>
      <c r="C1" s="126"/>
      <c r="D1" s="125"/>
      <c r="E1" s="125"/>
      <c r="F1" s="125"/>
      <c r="G1" s="125"/>
      <c r="H1" s="125"/>
      <c r="I1" s="124"/>
    </row>
    <row r="2" spans="1:22" s="121" customFormat="1" ht="13.5" customHeight="1" thickTop="1">
      <c r="C2" s="123"/>
      <c r="D2" s="122"/>
      <c r="E2" s="122"/>
      <c r="F2" s="122"/>
      <c r="G2" s="122"/>
      <c r="H2" s="122"/>
    </row>
    <row r="3" spans="1:22" s="116" customFormat="1" ht="14.4">
      <c r="B3" s="120" t="s">
        <v>73</v>
      </c>
      <c r="C3" s="119"/>
      <c r="D3" s="118"/>
      <c r="E3" s="117"/>
      <c r="F3" s="117"/>
      <c r="G3" s="117"/>
      <c r="H3" s="117"/>
    </row>
    <row r="4" spans="1:22" ht="10.5" customHeight="1"/>
    <row r="5" spans="1:22" ht="25.5" customHeight="1">
      <c r="B5" s="115" t="s">
        <v>72</v>
      </c>
      <c r="C5" s="115" t="s">
        <v>71</v>
      </c>
      <c r="D5" s="115" t="s">
        <v>70</v>
      </c>
      <c r="E5" s="114" t="s">
        <v>69</v>
      </c>
      <c r="F5" s="113" t="s">
        <v>68</v>
      </c>
      <c r="G5" s="113" t="s">
        <v>67</v>
      </c>
      <c r="H5" s="113" t="s">
        <v>29</v>
      </c>
    </row>
    <row r="6" spans="1:22" s="108" customFormat="1" ht="25.5" customHeight="1">
      <c r="B6" s="112">
        <v>1</v>
      </c>
      <c r="C6" s="111">
        <v>44706</v>
      </c>
      <c r="D6" s="110" t="s">
        <v>89</v>
      </c>
      <c r="E6" s="109" t="s">
        <v>66</v>
      </c>
      <c r="F6" s="109"/>
      <c r="G6" s="109"/>
      <c r="H6" s="109"/>
    </row>
    <row r="7" spans="1:22" ht="25.5" customHeight="1">
      <c r="B7" s="106"/>
      <c r="C7" s="111"/>
      <c r="D7" s="110"/>
      <c r="E7" s="107"/>
      <c r="F7" s="107"/>
      <c r="G7" s="107"/>
      <c r="H7" s="107"/>
    </row>
    <row r="8" spans="1:22" ht="25.5" customHeight="1">
      <c r="B8" s="106"/>
      <c r="C8" s="111"/>
      <c r="D8" s="110"/>
      <c r="E8" s="107"/>
      <c r="F8" s="107"/>
      <c r="G8" s="107"/>
      <c r="H8" s="107"/>
      <c r="V8" s="99">
        <v>44706</v>
      </c>
    </row>
    <row r="9" spans="1:22" ht="25.5" customHeight="1">
      <c r="B9" s="106"/>
      <c r="C9" s="111"/>
      <c r="D9" s="110"/>
      <c r="E9" s="103"/>
      <c r="F9" s="102"/>
      <c r="G9" s="102"/>
      <c r="H9" s="101"/>
    </row>
    <row r="10" spans="1:22" ht="25.5" customHeight="1">
      <c r="B10" s="145"/>
      <c r="C10" s="146"/>
      <c r="D10" s="147"/>
      <c r="E10" s="103"/>
      <c r="F10" s="102"/>
      <c r="G10" s="102"/>
      <c r="H10" s="101"/>
    </row>
    <row r="11" spans="1:22" ht="25.5" customHeight="1">
      <c r="B11" s="106"/>
      <c r="C11" s="105"/>
      <c r="D11" s="104"/>
      <c r="E11" s="103"/>
      <c r="F11" s="102"/>
      <c r="G11" s="102"/>
      <c r="H11" s="101"/>
    </row>
    <row r="12" spans="1:22" ht="25.5" customHeight="1">
      <c r="B12" s="106"/>
      <c r="C12" s="105"/>
      <c r="D12" s="104"/>
      <c r="E12" s="103"/>
      <c r="F12" s="102"/>
      <c r="G12" s="102"/>
      <c r="H12" s="101"/>
    </row>
    <row r="13" spans="1:22" ht="25.5" customHeight="1">
      <c r="B13" s="106"/>
      <c r="C13" s="105"/>
      <c r="D13" s="104"/>
      <c r="E13" s="103"/>
      <c r="F13" s="102"/>
      <c r="G13" s="102"/>
      <c r="H13" s="101"/>
    </row>
    <row r="14" spans="1:22" ht="25.5" customHeight="1">
      <c r="B14" s="106"/>
      <c r="C14" s="105"/>
      <c r="D14" s="104"/>
      <c r="E14" s="103"/>
      <c r="F14" s="102"/>
      <c r="G14" s="102"/>
      <c r="H14" s="101"/>
    </row>
    <row r="15" spans="1:22" ht="25.5" customHeight="1">
      <c r="B15" s="106"/>
      <c r="C15" s="105"/>
      <c r="D15" s="104"/>
      <c r="E15" s="103"/>
      <c r="F15" s="102"/>
      <c r="G15" s="102"/>
      <c r="H15" s="101"/>
    </row>
    <row r="16" spans="1:22" ht="25.5" customHeight="1">
      <c r="B16" s="106"/>
      <c r="C16" s="105"/>
      <c r="D16" s="104"/>
      <c r="E16" s="103"/>
      <c r="F16" s="102"/>
      <c r="G16" s="102"/>
      <c r="H16" s="101"/>
    </row>
    <row r="17" spans="2:8" ht="25.5" customHeight="1">
      <c r="B17" s="106"/>
      <c r="C17" s="105"/>
      <c r="D17" s="104"/>
      <c r="E17" s="103"/>
      <c r="F17" s="102"/>
      <c r="G17" s="102"/>
      <c r="H17" s="101"/>
    </row>
    <row r="18" spans="2:8" ht="25.5" customHeight="1">
      <c r="B18" s="106"/>
      <c r="C18" s="105"/>
      <c r="D18" s="104"/>
      <c r="E18" s="103"/>
      <c r="F18" s="102"/>
      <c r="G18" s="102"/>
      <c r="H18" s="101"/>
    </row>
    <row r="19" spans="2:8" ht="25.5" customHeight="1">
      <c r="B19" s="106"/>
      <c r="C19" s="105"/>
      <c r="D19" s="104"/>
      <c r="E19" s="103"/>
      <c r="F19" s="102"/>
      <c r="G19" s="102"/>
      <c r="H19" s="101"/>
    </row>
    <row r="20" spans="2:8" ht="25.5" customHeight="1">
      <c r="B20" s="106"/>
      <c r="C20" s="105"/>
      <c r="D20" s="104"/>
      <c r="E20" s="103"/>
      <c r="F20" s="102"/>
      <c r="G20" s="102"/>
      <c r="H20" s="101"/>
    </row>
    <row r="21" spans="2:8" ht="25.5" customHeight="1">
      <c r="B21" s="106"/>
      <c r="C21" s="105"/>
      <c r="D21" s="104"/>
      <c r="E21" s="103"/>
      <c r="F21" s="102"/>
      <c r="G21" s="102"/>
      <c r="H21" s="101"/>
    </row>
    <row r="22" spans="2:8" ht="25.5" customHeight="1">
      <c r="B22" s="106"/>
      <c r="C22" s="105"/>
      <c r="D22" s="104"/>
      <c r="E22" s="103"/>
      <c r="F22" s="102"/>
      <c r="G22" s="102"/>
      <c r="H22" s="101"/>
    </row>
    <row r="23" spans="2:8" ht="25.5" customHeight="1">
      <c r="B23" s="106"/>
      <c r="C23" s="105"/>
      <c r="D23" s="104"/>
      <c r="E23" s="103"/>
      <c r="F23" s="102"/>
      <c r="G23" s="102"/>
      <c r="H23" s="101"/>
    </row>
    <row r="24" spans="2:8" ht="25.5" customHeight="1">
      <c r="B24" s="106"/>
      <c r="C24" s="105"/>
      <c r="D24" s="104"/>
      <c r="E24" s="103"/>
      <c r="F24" s="102"/>
      <c r="G24" s="102"/>
      <c r="H24" s="101"/>
    </row>
    <row r="25" spans="2:8" ht="25.5" customHeight="1">
      <c r="B25" s="106"/>
      <c r="C25" s="105"/>
      <c r="D25" s="104"/>
      <c r="E25" s="103"/>
      <c r="F25" s="102"/>
      <c r="G25" s="102"/>
      <c r="H25" s="101"/>
    </row>
    <row r="26" spans="2:8" ht="25.5" customHeight="1">
      <c r="B26" s="106"/>
      <c r="C26" s="105"/>
      <c r="D26" s="104"/>
      <c r="E26" s="103"/>
      <c r="F26" s="102"/>
      <c r="G26" s="102"/>
      <c r="H26" s="101"/>
    </row>
    <row r="27" spans="2:8" ht="25.5" customHeight="1">
      <c r="B27" s="106"/>
      <c r="C27" s="105"/>
      <c r="D27" s="104"/>
      <c r="E27" s="103"/>
      <c r="F27" s="102"/>
      <c r="G27" s="102"/>
      <c r="H27" s="101"/>
    </row>
  </sheetData>
  <phoneticPr fontId="3"/>
  <pageMargins left="0.39370078740157483" right="0.43307086614173229" top="0.78740157480314965" bottom="0.78740157480314965" header="0.51181102362204722" footer="0.51181102362204722"/>
  <pageSetup paperSize="9" scale="81" fitToHeight="0" orientation="landscape" verticalDpi="300" r:id="rId1"/>
  <headerFooter alignWithMargins="0">
    <oddHeader>&amp;L株式会社 オートバックスセブン</oddHeader>
    <oddFooter>&amp;C&amp;P/&amp;N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BG57"/>
  <sheetViews>
    <sheetView zoomScale="90" zoomScaleNormal="90" workbookViewId="0">
      <pane xSplit="14" ySplit="10" topLeftCell="S11" activePane="bottomRight" state="frozen"/>
      <selection pane="topRight" activeCell="O1" sqref="O1"/>
      <selection pane="bottomLeft" activeCell="A10" sqref="A10"/>
      <selection pane="bottomRight" activeCell="BA40" sqref="BA40"/>
    </sheetView>
  </sheetViews>
  <sheetFormatPr defaultColWidth="2.6640625" defaultRowHeight="13.2"/>
  <cols>
    <col min="15" max="18" width="0" hidden="1" customWidth="1"/>
  </cols>
  <sheetData>
    <row r="1" spans="1:59" s="39" customFormat="1" ht="13.5" customHeight="1">
      <c r="A1" s="175" t="s">
        <v>34</v>
      </c>
      <c r="B1" s="176"/>
      <c r="C1" s="176"/>
      <c r="D1" s="176"/>
      <c r="E1" s="176"/>
      <c r="F1" s="176"/>
      <c r="G1" s="176"/>
      <c r="H1" s="176"/>
      <c r="I1" s="176"/>
      <c r="J1" s="176"/>
      <c r="K1" s="176"/>
      <c r="L1" s="176"/>
      <c r="M1" s="176"/>
      <c r="N1" s="176"/>
      <c r="O1" s="35"/>
      <c r="P1" s="35"/>
      <c r="Q1" s="35"/>
      <c r="R1" s="35"/>
      <c r="S1" s="35"/>
      <c r="T1" s="35"/>
      <c r="U1" s="35"/>
      <c r="V1" s="36"/>
      <c r="W1" s="37" t="s">
        <v>0</v>
      </c>
      <c r="X1" s="35"/>
      <c r="Y1" s="35"/>
      <c r="Z1" s="35"/>
      <c r="AA1" s="35"/>
      <c r="AB1" s="35"/>
      <c r="AC1" s="35"/>
      <c r="AD1" s="35"/>
      <c r="AE1" s="35"/>
      <c r="AF1" s="35"/>
      <c r="AG1" s="35"/>
      <c r="AH1" s="35"/>
      <c r="AI1" s="35"/>
      <c r="AJ1" s="35"/>
      <c r="AK1" s="35"/>
      <c r="AL1" s="35"/>
      <c r="AM1" s="35"/>
      <c r="AN1" s="35"/>
      <c r="AO1" s="35"/>
      <c r="AP1" s="35"/>
      <c r="AQ1" s="35"/>
      <c r="AR1" s="36"/>
      <c r="AS1" s="37" t="s">
        <v>31</v>
      </c>
      <c r="AT1" s="35"/>
      <c r="AU1" s="35"/>
      <c r="AV1" s="35"/>
      <c r="AW1" s="35"/>
      <c r="AX1" s="35"/>
      <c r="AY1" s="35"/>
      <c r="AZ1" s="35"/>
      <c r="BA1" s="35"/>
      <c r="BB1" s="35"/>
      <c r="BC1" s="35"/>
      <c r="BD1" s="35"/>
      <c r="BE1" s="35"/>
      <c r="BF1" s="35"/>
      <c r="BG1" s="38"/>
    </row>
    <row r="2" spans="1:59" s="39" customFormat="1" ht="13.5" customHeight="1">
      <c r="A2" s="177"/>
      <c r="B2" s="178"/>
      <c r="C2" s="178"/>
      <c r="D2" s="178"/>
      <c r="E2" s="178"/>
      <c r="F2" s="178"/>
      <c r="G2" s="178"/>
      <c r="H2" s="178"/>
      <c r="I2" s="178"/>
      <c r="J2" s="178"/>
      <c r="K2" s="178"/>
      <c r="L2" s="178"/>
      <c r="M2" s="178"/>
      <c r="N2" s="178"/>
      <c r="O2" s="40"/>
      <c r="P2" s="40"/>
      <c r="Q2" s="40"/>
      <c r="R2" s="40"/>
      <c r="S2" s="40"/>
      <c r="T2" s="40"/>
      <c r="U2" s="40"/>
      <c r="V2" s="41"/>
      <c r="W2" s="40"/>
      <c r="X2" s="40"/>
      <c r="Y2" s="40"/>
      <c r="Z2" s="40" t="s">
        <v>32</v>
      </c>
      <c r="AA2" s="40"/>
      <c r="AB2" s="40"/>
      <c r="AC2" s="40"/>
      <c r="AD2" s="40"/>
      <c r="AE2" s="40"/>
      <c r="AF2" s="40"/>
      <c r="AG2" s="40"/>
      <c r="AH2" s="40"/>
      <c r="AI2" s="40"/>
      <c r="AJ2" s="40"/>
      <c r="AK2" s="40"/>
      <c r="AL2" s="40"/>
      <c r="AM2" s="40"/>
      <c r="AN2" s="40"/>
      <c r="AO2" s="40"/>
      <c r="AP2" s="40"/>
      <c r="AQ2" s="40"/>
      <c r="AR2" s="41"/>
      <c r="AS2" s="40"/>
      <c r="AT2" s="40"/>
      <c r="AU2" s="40"/>
      <c r="AV2" s="40" t="s">
        <v>36</v>
      </c>
      <c r="AW2" s="40"/>
      <c r="AX2" s="40"/>
      <c r="AY2" s="40"/>
      <c r="AZ2" s="40"/>
      <c r="BA2" s="40"/>
      <c r="BB2" s="40"/>
      <c r="BC2" s="40"/>
      <c r="BD2" s="40"/>
      <c r="BE2" s="40"/>
      <c r="BF2" s="40"/>
      <c r="BG2" s="42"/>
    </row>
    <row r="3" spans="1:59" s="39" customFormat="1" ht="7.5" customHeight="1">
      <c r="A3" s="179"/>
      <c r="B3" s="166"/>
      <c r="C3" s="166"/>
      <c r="D3" s="166"/>
      <c r="E3" s="166"/>
      <c r="F3" s="166"/>
      <c r="G3" s="166"/>
      <c r="H3" s="166"/>
      <c r="I3" s="166"/>
      <c r="J3" s="166"/>
      <c r="K3" s="166"/>
      <c r="L3" s="166"/>
      <c r="M3" s="166"/>
      <c r="N3" s="166"/>
      <c r="O3" s="40"/>
      <c r="P3" s="40"/>
      <c r="Q3" s="40"/>
      <c r="R3" s="40"/>
      <c r="S3" s="40"/>
      <c r="T3" s="40"/>
      <c r="U3" s="40"/>
      <c r="V3" s="41"/>
      <c r="W3" s="40"/>
      <c r="X3" s="40"/>
      <c r="Y3" s="40"/>
      <c r="Z3" s="40"/>
      <c r="AA3" s="40"/>
      <c r="AB3" s="40"/>
      <c r="AC3" s="40"/>
      <c r="AD3" s="40"/>
      <c r="AE3" s="40"/>
      <c r="AF3" s="40"/>
      <c r="AG3" s="40"/>
      <c r="AH3" s="40"/>
      <c r="AI3" s="40"/>
      <c r="AJ3" s="40"/>
      <c r="AK3" s="40"/>
      <c r="AL3" s="40"/>
      <c r="AM3" s="40"/>
      <c r="AN3" s="40"/>
      <c r="AO3" s="40"/>
      <c r="AP3" s="40"/>
      <c r="AQ3" s="40"/>
      <c r="AR3" s="41"/>
      <c r="AS3" s="40"/>
      <c r="AT3" s="40"/>
      <c r="AU3" s="40"/>
      <c r="AV3" s="40"/>
      <c r="AW3" s="40"/>
      <c r="AX3" s="40"/>
      <c r="AY3" s="40"/>
      <c r="AZ3" s="40"/>
      <c r="BA3" s="40"/>
      <c r="BB3" s="40"/>
      <c r="BC3" s="40"/>
      <c r="BD3" s="40"/>
      <c r="BE3" s="40"/>
      <c r="BF3" s="40"/>
      <c r="BG3" s="42"/>
    </row>
    <row r="4" spans="1:59" s="39" customFormat="1" ht="13.5" customHeight="1">
      <c r="A4" s="180" t="s">
        <v>35</v>
      </c>
      <c r="B4" s="181"/>
      <c r="C4" s="181"/>
      <c r="D4" s="181"/>
      <c r="E4" s="181"/>
      <c r="F4" s="181"/>
      <c r="G4" s="181"/>
      <c r="H4" s="181"/>
      <c r="I4" s="181"/>
      <c r="J4" s="181"/>
      <c r="K4" s="181"/>
      <c r="L4" s="181"/>
      <c r="M4" s="181"/>
      <c r="N4" s="181"/>
      <c r="O4" s="181"/>
      <c r="P4" s="181"/>
      <c r="Q4" s="181"/>
      <c r="R4" s="181"/>
      <c r="S4" s="181"/>
      <c r="T4" s="181"/>
      <c r="U4" s="181"/>
      <c r="V4" s="181"/>
      <c r="W4" s="181"/>
      <c r="X4" s="181"/>
      <c r="Y4" s="181"/>
      <c r="Z4" s="181"/>
      <c r="AA4" s="181"/>
      <c r="AB4" s="181"/>
      <c r="AC4" s="181"/>
      <c r="AD4" s="181"/>
      <c r="AE4" s="181"/>
      <c r="AF4" s="181"/>
      <c r="AG4" s="181"/>
      <c r="AH4" s="181"/>
      <c r="AI4" s="181"/>
      <c r="AJ4" s="181"/>
      <c r="AK4" s="181"/>
      <c r="AL4" s="181"/>
      <c r="AM4" s="181"/>
      <c r="AN4" s="181"/>
      <c r="AO4" s="181"/>
      <c r="AP4" s="181"/>
      <c r="AQ4" s="182"/>
      <c r="AR4" s="44"/>
      <c r="AS4" s="45" t="s">
        <v>33</v>
      </c>
      <c r="AT4" s="43"/>
      <c r="AU4" s="43"/>
      <c r="AV4" s="43"/>
      <c r="AW4" s="43"/>
      <c r="AX4" s="43"/>
      <c r="AY4" s="43"/>
      <c r="AZ4" s="43"/>
      <c r="BA4" s="43"/>
      <c r="BB4" s="43"/>
      <c r="BC4" s="43"/>
      <c r="BD4" s="43"/>
      <c r="BE4" s="43"/>
      <c r="BF4" s="43"/>
      <c r="BG4" s="46"/>
    </row>
    <row r="5" spans="1:59" s="39" customFormat="1" ht="13.5" customHeight="1">
      <c r="A5" s="183"/>
      <c r="B5" s="184"/>
      <c r="C5" s="184"/>
      <c r="D5" s="184"/>
      <c r="E5" s="184"/>
      <c r="F5" s="184"/>
      <c r="G5" s="184"/>
      <c r="H5" s="184"/>
      <c r="I5" s="184"/>
      <c r="J5" s="184"/>
      <c r="K5" s="184"/>
      <c r="L5" s="184"/>
      <c r="M5" s="184"/>
      <c r="N5" s="184"/>
      <c r="O5" s="184"/>
      <c r="P5" s="184"/>
      <c r="Q5" s="184"/>
      <c r="R5" s="184"/>
      <c r="S5" s="184"/>
      <c r="T5" s="184"/>
      <c r="U5" s="184"/>
      <c r="V5" s="184"/>
      <c r="W5" s="184"/>
      <c r="X5" s="184"/>
      <c r="Y5" s="184"/>
      <c r="Z5" s="184"/>
      <c r="AA5" s="184"/>
      <c r="AB5" s="184"/>
      <c r="AC5" s="184"/>
      <c r="AD5" s="184"/>
      <c r="AE5" s="184"/>
      <c r="AF5" s="184"/>
      <c r="AG5" s="184"/>
      <c r="AH5" s="184"/>
      <c r="AI5" s="184"/>
      <c r="AJ5" s="184"/>
      <c r="AK5" s="184"/>
      <c r="AL5" s="184"/>
      <c r="AM5" s="184"/>
      <c r="AN5" s="184"/>
      <c r="AO5" s="184"/>
      <c r="AP5" s="184"/>
      <c r="AQ5" s="185"/>
      <c r="AR5" s="41"/>
      <c r="AS5" s="40"/>
      <c r="AT5" s="40"/>
      <c r="AU5" s="40"/>
      <c r="AV5" s="40" t="s">
        <v>58</v>
      </c>
      <c r="AW5" s="40"/>
      <c r="AX5" s="40"/>
      <c r="AY5" s="40"/>
      <c r="AZ5" s="40"/>
      <c r="BA5" s="40"/>
      <c r="BB5" s="40"/>
      <c r="BC5" s="40"/>
      <c r="BD5" s="40"/>
      <c r="BE5" s="40"/>
      <c r="BF5" s="40"/>
      <c r="BG5" s="42"/>
    </row>
    <row r="6" spans="1:59" s="39" customFormat="1" ht="13.5" customHeight="1">
      <c r="A6" s="183"/>
      <c r="B6" s="184"/>
      <c r="C6" s="184"/>
      <c r="D6" s="184"/>
      <c r="E6" s="184"/>
      <c r="F6" s="184"/>
      <c r="G6" s="184"/>
      <c r="H6" s="184"/>
      <c r="I6" s="184"/>
      <c r="J6" s="184"/>
      <c r="K6" s="184"/>
      <c r="L6" s="184"/>
      <c r="M6" s="184"/>
      <c r="N6" s="184"/>
      <c r="O6" s="184"/>
      <c r="P6" s="184"/>
      <c r="Q6" s="184"/>
      <c r="R6" s="184"/>
      <c r="S6" s="184"/>
      <c r="T6" s="184"/>
      <c r="U6" s="184"/>
      <c r="V6" s="184"/>
      <c r="W6" s="184"/>
      <c r="X6" s="184"/>
      <c r="Y6" s="184"/>
      <c r="Z6" s="184"/>
      <c r="AA6" s="184"/>
      <c r="AB6" s="184"/>
      <c r="AC6" s="184"/>
      <c r="AD6" s="184"/>
      <c r="AE6" s="184"/>
      <c r="AF6" s="184"/>
      <c r="AG6" s="184"/>
      <c r="AH6" s="184"/>
      <c r="AI6" s="184"/>
      <c r="AJ6" s="184"/>
      <c r="AK6" s="184"/>
      <c r="AL6" s="184"/>
      <c r="AM6" s="184"/>
      <c r="AN6" s="184"/>
      <c r="AO6" s="184"/>
      <c r="AP6" s="184"/>
      <c r="AQ6" s="185"/>
      <c r="AR6" s="41"/>
      <c r="AS6" s="40"/>
      <c r="AT6" s="40"/>
      <c r="AU6" s="40"/>
      <c r="AV6" s="40" t="s">
        <v>60</v>
      </c>
      <c r="AW6" s="40"/>
      <c r="AX6" s="40"/>
      <c r="AY6" s="40"/>
      <c r="AZ6" s="40"/>
      <c r="BA6" s="40"/>
      <c r="BB6" s="40"/>
      <c r="BC6" s="40"/>
      <c r="BD6" s="40"/>
      <c r="BE6" s="40"/>
      <c r="BF6" s="40"/>
      <c r="BG6" s="42"/>
    </row>
    <row r="7" spans="1:59" s="39" customFormat="1" ht="9" customHeight="1">
      <c r="A7" s="186"/>
      <c r="B7" s="187"/>
      <c r="C7" s="187"/>
      <c r="D7" s="187"/>
      <c r="E7" s="187"/>
      <c r="F7" s="187"/>
      <c r="G7" s="187"/>
      <c r="H7" s="187"/>
      <c r="I7" s="187"/>
      <c r="J7" s="187"/>
      <c r="K7" s="187"/>
      <c r="L7" s="187"/>
      <c r="M7" s="187"/>
      <c r="N7" s="187"/>
      <c r="O7" s="187"/>
      <c r="P7" s="187"/>
      <c r="Q7" s="187"/>
      <c r="R7" s="187"/>
      <c r="S7" s="187"/>
      <c r="T7" s="187"/>
      <c r="U7" s="187"/>
      <c r="V7" s="187"/>
      <c r="W7" s="187"/>
      <c r="X7" s="187"/>
      <c r="Y7" s="187"/>
      <c r="Z7" s="187"/>
      <c r="AA7" s="187"/>
      <c r="AB7" s="187"/>
      <c r="AC7" s="187"/>
      <c r="AD7" s="187"/>
      <c r="AE7" s="187"/>
      <c r="AF7" s="187"/>
      <c r="AG7" s="187"/>
      <c r="AH7" s="187"/>
      <c r="AI7" s="187"/>
      <c r="AJ7" s="187"/>
      <c r="AK7" s="187"/>
      <c r="AL7" s="187"/>
      <c r="AM7" s="187"/>
      <c r="AN7" s="187"/>
      <c r="AO7" s="187"/>
      <c r="AP7" s="187"/>
      <c r="AQ7" s="188"/>
      <c r="AR7" s="48"/>
      <c r="AS7" s="47"/>
      <c r="AT7" s="47"/>
      <c r="AU7" s="47"/>
      <c r="AV7" s="47"/>
      <c r="AW7" s="47"/>
      <c r="AX7" s="47"/>
      <c r="AY7" s="47"/>
      <c r="AZ7" s="47"/>
      <c r="BA7" s="47"/>
      <c r="BB7" s="47"/>
      <c r="BC7" s="47"/>
      <c r="BD7" s="47"/>
      <c r="BE7" s="47"/>
      <c r="BF7" s="47"/>
      <c r="BG7" s="49"/>
    </row>
    <row r="8" spans="1:59">
      <c r="V8" s="161">
        <v>44706</v>
      </c>
    </row>
    <row r="9" spans="1:59">
      <c r="A9" s="162" t="s">
        <v>18</v>
      </c>
      <c r="B9" s="163"/>
      <c r="C9" s="163"/>
      <c r="D9" s="163"/>
      <c r="E9" s="163"/>
      <c r="F9" s="163"/>
      <c r="G9" s="163"/>
      <c r="H9" s="163"/>
      <c r="I9" s="163"/>
      <c r="J9" s="163"/>
      <c r="K9" s="163"/>
      <c r="L9" s="163"/>
      <c r="M9" s="163"/>
      <c r="N9" s="164"/>
      <c r="O9" s="78"/>
      <c r="P9" s="79"/>
      <c r="Q9" s="79"/>
      <c r="R9" s="80"/>
      <c r="S9" s="78"/>
      <c r="T9" s="79"/>
      <c r="U9" s="79"/>
      <c r="V9" s="79"/>
      <c r="W9" s="189"/>
      <c r="X9" s="189"/>
      <c r="Y9" s="189"/>
      <c r="Z9" s="189"/>
      <c r="AA9" s="189"/>
      <c r="AB9" s="189"/>
      <c r="AC9" s="189"/>
      <c r="AD9" s="189"/>
      <c r="AE9" s="79"/>
      <c r="AF9" s="79"/>
      <c r="AG9" s="79"/>
      <c r="AH9" s="79"/>
      <c r="AI9" s="79"/>
      <c r="AJ9" s="79"/>
      <c r="AK9" s="79"/>
      <c r="AL9" s="79"/>
      <c r="AM9" s="79"/>
      <c r="AN9" s="79"/>
      <c r="AO9" s="79"/>
      <c r="AP9" s="79"/>
      <c r="AQ9" s="79"/>
      <c r="AR9" s="79"/>
      <c r="AS9" s="79"/>
      <c r="AT9" s="79"/>
      <c r="AU9" s="79"/>
      <c r="AV9" s="79"/>
      <c r="AW9" s="79"/>
      <c r="AX9" s="80"/>
      <c r="AY9" s="162" t="s">
        <v>29</v>
      </c>
      <c r="AZ9" s="163"/>
      <c r="BA9" s="163"/>
      <c r="BB9" s="163"/>
      <c r="BC9" s="163"/>
      <c r="BD9" s="163"/>
      <c r="BE9" s="163"/>
      <c r="BF9" s="163"/>
      <c r="BG9" s="164"/>
    </row>
    <row r="10" spans="1:59">
      <c r="A10" s="165"/>
      <c r="B10" s="166"/>
      <c r="C10" s="166"/>
      <c r="D10" s="166"/>
      <c r="E10" s="166"/>
      <c r="F10" s="166"/>
      <c r="G10" s="166"/>
      <c r="H10" s="166"/>
      <c r="I10" s="166"/>
      <c r="J10" s="166"/>
      <c r="K10" s="166"/>
      <c r="L10" s="166"/>
      <c r="M10" s="166"/>
      <c r="N10" s="167"/>
      <c r="O10" s="76"/>
      <c r="P10" s="77"/>
      <c r="Q10" s="77"/>
      <c r="R10" s="77"/>
      <c r="S10" s="168">
        <v>5</v>
      </c>
      <c r="T10" s="169"/>
      <c r="U10" s="168">
        <f>S10+1</f>
        <v>6</v>
      </c>
      <c r="V10" s="169"/>
      <c r="W10" s="168">
        <f>U10+1</f>
        <v>7</v>
      </c>
      <c r="X10" s="169"/>
      <c r="Y10" s="168">
        <f>W10+1</f>
        <v>8</v>
      </c>
      <c r="Z10" s="169"/>
      <c r="AA10" s="168">
        <f>Y10+1</f>
        <v>9</v>
      </c>
      <c r="AB10" s="169"/>
      <c r="AC10" s="170">
        <f>AA10+1</f>
        <v>10</v>
      </c>
      <c r="AD10" s="171"/>
      <c r="AE10" s="170">
        <f>AC10+1</f>
        <v>11</v>
      </c>
      <c r="AF10" s="171"/>
      <c r="AG10" s="168">
        <f>AE10+1</f>
        <v>12</v>
      </c>
      <c r="AH10" s="169"/>
      <c r="AI10" s="168">
        <f>AG10+1</f>
        <v>13</v>
      </c>
      <c r="AJ10" s="169"/>
      <c r="AK10" s="168">
        <f>AI10+1</f>
        <v>14</v>
      </c>
      <c r="AL10" s="169"/>
      <c r="AM10" s="168">
        <f>AK10+1</f>
        <v>15</v>
      </c>
      <c r="AN10" s="169"/>
      <c r="AO10" s="168">
        <f>AM10+1</f>
        <v>16</v>
      </c>
      <c r="AP10" s="169"/>
      <c r="AQ10" s="172">
        <f>AO10+1</f>
        <v>17</v>
      </c>
      <c r="AR10" s="173"/>
      <c r="AS10" s="172">
        <f>AQ10+1</f>
        <v>18</v>
      </c>
      <c r="AT10" s="173"/>
      <c r="AU10" s="168">
        <f>AS10+1</f>
        <v>19</v>
      </c>
      <c r="AV10" s="169"/>
      <c r="AW10" s="174">
        <f>AU10+1</f>
        <v>20</v>
      </c>
      <c r="AX10" s="174"/>
      <c r="AY10" s="165"/>
      <c r="AZ10" s="166"/>
      <c r="BA10" s="166"/>
      <c r="BB10" s="166"/>
      <c r="BC10" s="166"/>
      <c r="BD10" s="166"/>
      <c r="BE10" s="166"/>
      <c r="BF10" s="166"/>
      <c r="BG10" s="167"/>
    </row>
    <row r="11" spans="1:59">
      <c r="A11" s="190" t="s">
        <v>56</v>
      </c>
      <c r="B11" s="191"/>
      <c r="C11" s="191"/>
      <c r="D11" s="191"/>
      <c r="E11" s="191"/>
      <c r="F11" s="191"/>
      <c r="G11" s="191"/>
      <c r="H11" s="191"/>
      <c r="I11" s="191"/>
      <c r="J11" s="191"/>
      <c r="K11" s="191"/>
      <c r="L11" s="191"/>
      <c r="M11" s="191"/>
      <c r="N11" s="191"/>
      <c r="O11" s="50"/>
      <c r="P11" s="51"/>
      <c r="Q11" s="51"/>
      <c r="R11" s="51"/>
      <c r="S11" s="57"/>
      <c r="T11" s="56"/>
      <c r="U11" s="57"/>
      <c r="V11" s="56"/>
      <c r="W11" s="57"/>
      <c r="X11" s="56"/>
      <c r="Y11" s="57"/>
      <c r="Z11" s="56"/>
      <c r="AA11" s="57"/>
      <c r="AB11" s="56"/>
      <c r="AC11" s="57"/>
      <c r="AD11" s="56"/>
      <c r="AE11" s="57"/>
      <c r="AF11" s="56"/>
      <c r="AG11" s="57"/>
      <c r="AH11" s="56"/>
      <c r="AI11" s="57"/>
      <c r="AJ11" s="56"/>
      <c r="AK11" s="57"/>
      <c r="AL11" s="56"/>
      <c r="AM11" s="57"/>
      <c r="AN11" s="56"/>
      <c r="AO11" s="57"/>
      <c r="AP11" s="56"/>
      <c r="AQ11" s="57"/>
      <c r="AR11" s="56"/>
      <c r="AS11" s="57"/>
      <c r="AT11" s="56"/>
      <c r="AU11" s="57"/>
      <c r="AV11" s="56"/>
      <c r="AW11" s="51"/>
      <c r="AX11" s="52"/>
      <c r="AY11" s="51"/>
      <c r="AZ11" s="51"/>
      <c r="BA11" s="51"/>
      <c r="BB11" s="51"/>
      <c r="BC11" s="51"/>
      <c r="BD11" s="51"/>
      <c r="BE11" s="51"/>
      <c r="BF11" s="51"/>
      <c r="BG11" s="52"/>
    </row>
    <row r="12" spans="1:59">
      <c r="A12" s="192"/>
      <c r="B12" s="193"/>
      <c r="C12" s="193"/>
      <c r="D12" s="193"/>
      <c r="E12" s="193"/>
      <c r="F12" s="193"/>
      <c r="G12" s="193"/>
      <c r="H12" s="193"/>
      <c r="I12" s="193"/>
      <c r="J12" s="193"/>
      <c r="K12" s="193"/>
      <c r="L12" s="193"/>
      <c r="M12" s="193"/>
      <c r="N12" s="193"/>
      <c r="O12" s="60"/>
      <c r="P12" s="61"/>
      <c r="Q12" s="61"/>
      <c r="R12" s="61"/>
      <c r="S12" s="63"/>
      <c r="T12" s="62"/>
      <c r="U12" s="63"/>
      <c r="V12" s="62"/>
      <c r="W12" s="63"/>
      <c r="X12" s="62"/>
      <c r="Y12" s="63"/>
      <c r="Z12" s="62"/>
      <c r="AA12" s="63"/>
      <c r="AB12" s="62"/>
      <c r="AC12" s="63"/>
      <c r="AD12" s="62"/>
      <c r="AE12" s="63"/>
      <c r="AF12" s="62"/>
      <c r="AG12" s="63"/>
      <c r="AH12" s="62"/>
      <c r="AI12" s="63"/>
      <c r="AJ12" s="62"/>
      <c r="AK12" s="63"/>
      <c r="AL12" s="62"/>
      <c r="AM12" s="63"/>
      <c r="AN12" s="62"/>
      <c r="AO12" s="63"/>
      <c r="AP12" s="62"/>
      <c r="AQ12" s="63"/>
      <c r="AR12" s="62"/>
      <c r="AS12" s="63"/>
      <c r="AT12" s="62"/>
      <c r="AU12" s="63"/>
      <c r="AV12" s="62"/>
      <c r="AW12" s="61"/>
      <c r="AX12" s="64"/>
      <c r="AY12" s="61"/>
      <c r="AZ12" s="61"/>
      <c r="BA12" s="61"/>
      <c r="BB12" s="61"/>
      <c r="BC12" s="61"/>
      <c r="BD12" s="61"/>
      <c r="BE12" s="61"/>
      <c r="BF12" s="61"/>
      <c r="BG12" s="64"/>
    </row>
    <row r="13" spans="1:59">
      <c r="A13" s="192"/>
      <c r="B13" s="193"/>
      <c r="C13" s="193"/>
      <c r="D13" s="193"/>
      <c r="E13" s="193"/>
      <c r="F13" s="193"/>
      <c r="G13" s="193"/>
      <c r="H13" s="193"/>
      <c r="I13" s="193"/>
      <c r="J13" s="193"/>
      <c r="K13" s="193"/>
      <c r="L13" s="193"/>
      <c r="M13" s="193"/>
      <c r="N13" s="193"/>
      <c r="O13" s="60"/>
      <c r="P13" s="61"/>
      <c r="Q13" s="61"/>
      <c r="R13" s="61"/>
      <c r="S13" s="63"/>
      <c r="T13" s="62"/>
      <c r="U13" s="63"/>
      <c r="V13" s="62"/>
      <c r="W13" s="63"/>
      <c r="X13" s="62"/>
      <c r="Y13" s="63"/>
      <c r="Z13" s="62"/>
      <c r="AA13" s="63"/>
      <c r="AB13" s="62"/>
      <c r="AC13" s="63"/>
      <c r="AD13" s="62"/>
      <c r="AE13" s="63"/>
      <c r="AF13" s="62"/>
      <c r="AG13" s="63"/>
      <c r="AH13" s="62"/>
      <c r="AI13" s="63"/>
      <c r="AJ13" s="62"/>
      <c r="AK13" s="63"/>
      <c r="AL13" s="62"/>
      <c r="AM13" s="63"/>
      <c r="AN13" s="62"/>
      <c r="AO13" s="63"/>
      <c r="AP13" s="62"/>
      <c r="AQ13" s="63"/>
      <c r="AR13" s="62"/>
      <c r="AS13" s="63"/>
      <c r="AT13" s="62"/>
      <c r="AU13" s="63"/>
      <c r="AV13" s="62"/>
      <c r="AW13" s="61"/>
      <c r="AX13" s="64"/>
      <c r="AY13" s="61"/>
      <c r="AZ13" s="61"/>
      <c r="BA13" s="61"/>
      <c r="BB13" s="61"/>
      <c r="BC13" s="61"/>
      <c r="BD13" s="61"/>
      <c r="BE13" s="61"/>
      <c r="BF13" s="61"/>
      <c r="BG13" s="64"/>
    </row>
    <row r="14" spans="1:59">
      <c r="A14" s="194"/>
      <c r="B14" s="195"/>
      <c r="C14" s="195"/>
      <c r="D14" s="195"/>
      <c r="E14" s="195"/>
      <c r="F14" s="195"/>
      <c r="G14" s="195"/>
      <c r="H14" s="195"/>
      <c r="I14" s="195"/>
      <c r="J14" s="195"/>
      <c r="K14" s="195"/>
      <c r="L14" s="195"/>
      <c r="M14" s="195"/>
      <c r="N14" s="195"/>
      <c r="O14" s="53"/>
      <c r="P14" s="54"/>
      <c r="Q14" s="54"/>
      <c r="R14" s="54"/>
      <c r="S14" s="59"/>
      <c r="T14" s="58"/>
      <c r="U14" s="59"/>
      <c r="V14" s="58"/>
      <c r="W14" s="59"/>
      <c r="X14" s="58"/>
      <c r="Y14" s="59"/>
      <c r="Z14" s="58"/>
      <c r="AA14" s="59"/>
      <c r="AB14" s="58"/>
      <c r="AC14" s="59"/>
      <c r="AD14" s="58"/>
      <c r="AE14" s="59"/>
      <c r="AF14" s="58"/>
      <c r="AG14" s="59"/>
      <c r="AH14" s="58"/>
      <c r="AI14" s="59"/>
      <c r="AJ14" s="58"/>
      <c r="AK14" s="59"/>
      <c r="AL14" s="58"/>
      <c r="AM14" s="59"/>
      <c r="AN14" s="58"/>
      <c r="AO14" s="59"/>
      <c r="AP14" s="58"/>
      <c r="AQ14" s="59"/>
      <c r="AR14" s="58"/>
      <c r="AS14" s="59"/>
      <c r="AT14" s="58"/>
      <c r="AU14" s="59"/>
      <c r="AV14" s="58"/>
      <c r="AW14" s="54"/>
      <c r="AX14" s="55"/>
      <c r="AY14" s="54"/>
      <c r="AZ14" s="54"/>
      <c r="BA14" s="54"/>
      <c r="BB14" s="54"/>
      <c r="BC14" s="54"/>
      <c r="BD14" s="54"/>
      <c r="BE14" s="54"/>
      <c r="BF14" s="54"/>
      <c r="BG14" s="55"/>
    </row>
    <row r="15" spans="1:59">
      <c r="A15" s="68"/>
      <c r="B15" s="65"/>
      <c r="C15" s="65"/>
      <c r="D15" s="65"/>
      <c r="E15" s="65"/>
      <c r="F15" s="65"/>
      <c r="G15" s="65"/>
      <c r="H15" s="65"/>
      <c r="I15" s="65"/>
      <c r="J15" s="65"/>
      <c r="K15" s="65"/>
      <c r="L15" s="65"/>
      <c r="M15" s="65"/>
      <c r="N15" s="66"/>
      <c r="O15" s="50"/>
      <c r="P15" s="51"/>
      <c r="Q15" s="51"/>
      <c r="R15" s="51"/>
      <c r="S15" s="57"/>
      <c r="T15" s="56"/>
      <c r="U15" s="57"/>
      <c r="V15" s="56"/>
      <c r="W15" s="57"/>
      <c r="X15" s="56"/>
      <c r="Y15" s="57"/>
      <c r="Z15" s="56"/>
      <c r="AA15" s="57"/>
      <c r="AB15" s="56"/>
      <c r="AC15" s="57"/>
      <c r="AD15" s="56"/>
      <c r="AE15" s="57"/>
      <c r="AF15" s="56"/>
      <c r="AG15" s="57"/>
      <c r="AH15" s="56"/>
      <c r="AI15" s="57"/>
      <c r="AJ15" s="56"/>
      <c r="AK15" s="57"/>
      <c r="AL15" s="56"/>
      <c r="AM15" s="57"/>
      <c r="AN15" s="56"/>
      <c r="AO15" s="57"/>
      <c r="AP15" s="56"/>
      <c r="AQ15" s="57"/>
      <c r="AR15" s="56"/>
      <c r="AS15" s="57"/>
      <c r="AT15" s="56"/>
      <c r="AU15" s="57"/>
      <c r="AV15" s="56"/>
      <c r="AW15" s="51"/>
      <c r="AX15" s="52"/>
      <c r="AY15" s="50"/>
      <c r="AZ15" s="51"/>
      <c r="BA15" s="51"/>
      <c r="BB15" s="51"/>
      <c r="BC15" s="51"/>
      <c r="BD15" s="51"/>
      <c r="BE15" s="51"/>
      <c r="BF15" s="51"/>
      <c r="BG15" s="52"/>
    </row>
    <row r="16" spans="1:59">
      <c r="A16" s="69"/>
      <c r="B16" s="70" t="s">
        <v>37</v>
      </c>
      <c r="C16" s="70"/>
      <c r="E16" s="70"/>
      <c r="F16" s="70"/>
      <c r="G16" s="70"/>
      <c r="H16" s="70"/>
      <c r="I16" s="70"/>
      <c r="J16" s="70"/>
      <c r="K16" s="70"/>
      <c r="L16" s="70"/>
      <c r="M16" s="70"/>
      <c r="N16" s="67"/>
      <c r="O16" s="60"/>
      <c r="P16" s="61"/>
      <c r="Q16" s="61"/>
      <c r="R16" s="61"/>
      <c r="S16" s="63"/>
      <c r="T16" s="62"/>
      <c r="U16" s="63"/>
      <c r="V16" s="62"/>
      <c r="W16" s="63"/>
      <c r="X16" s="62"/>
      <c r="Y16" s="63"/>
      <c r="Z16" s="62"/>
      <c r="AA16" s="63"/>
      <c r="AB16" s="62"/>
      <c r="AC16" s="63"/>
      <c r="AD16" s="62"/>
      <c r="AE16" s="63"/>
      <c r="AF16" s="62"/>
      <c r="AG16" s="63"/>
      <c r="AH16" s="62"/>
      <c r="AI16" s="63"/>
      <c r="AJ16" s="62"/>
      <c r="AK16" s="63"/>
      <c r="AL16" s="62"/>
      <c r="AM16" s="63"/>
      <c r="AN16" s="62"/>
      <c r="AO16" s="63"/>
      <c r="AP16" s="62"/>
      <c r="AQ16" s="63"/>
      <c r="AR16" s="62"/>
      <c r="AS16" s="63"/>
      <c r="AT16" s="62"/>
      <c r="AU16" s="63"/>
      <c r="AV16" s="62"/>
      <c r="AW16" s="61"/>
      <c r="AX16" s="64"/>
      <c r="AY16" s="60"/>
      <c r="AZ16" s="61"/>
      <c r="BA16" s="61"/>
      <c r="BB16" s="61"/>
      <c r="BC16" s="61"/>
      <c r="BD16" s="61"/>
      <c r="BE16" s="61"/>
      <c r="BF16" s="61"/>
      <c r="BG16" s="64"/>
    </row>
    <row r="17" spans="1:59">
      <c r="A17" s="69"/>
      <c r="B17" s="70"/>
      <c r="C17" s="70"/>
      <c r="D17" s="70" t="s">
        <v>47</v>
      </c>
      <c r="E17" s="70"/>
      <c r="F17" s="70"/>
      <c r="G17" s="70"/>
      <c r="H17" s="70"/>
      <c r="I17" s="70"/>
      <c r="J17" s="70"/>
      <c r="K17" s="70"/>
      <c r="L17" s="70"/>
      <c r="M17" s="70"/>
      <c r="N17" s="67"/>
      <c r="O17" s="60"/>
      <c r="P17" s="61"/>
      <c r="Q17" s="61"/>
      <c r="R17" s="61"/>
      <c r="S17" s="63"/>
      <c r="T17" s="62"/>
      <c r="U17" s="63"/>
      <c r="V17" s="62"/>
      <c r="W17" s="63"/>
      <c r="X17" s="62"/>
      <c r="Y17" s="63"/>
      <c r="Z17" s="62"/>
      <c r="AA17" s="63"/>
      <c r="AB17" s="62"/>
      <c r="AC17" s="63"/>
      <c r="AD17" s="62"/>
      <c r="AE17" s="63"/>
      <c r="AF17" s="62"/>
      <c r="AG17" s="63"/>
      <c r="AH17" s="62"/>
      <c r="AI17" s="63"/>
      <c r="AJ17" s="62"/>
      <c r="AK17" s="63"/>
      <c r="AL17" s="62"/>
      <c r="AM17" s="63"/>
      <c r="AN17" s="62"/>
      <c r="AO17" s="63"/>
      <c r="AP17" s="62"/>
      <c r="AQ17" s="63"/>
      <c r="AR17" s="62"/>
      <c r="AS17" s="63"/>
      <c r="AT17" s="62"/>
      <c r="AU17" s="63"/>
      <c r="AV17" s="62"/>
      <c r="AW17" s="61"/>
      <c r="AX17" s="64"/>
      <c r="AY17" s="60"/>
      <c r="AZ17" s="61"/>
      <c r="BA17" s="61"/>
      <c r="BB17" s="61"/>
      <c r="BC17" s="61"/>
      <c r="BD17" s="61"/>
      <c r="BE17" s="61"/>
      <c r="BF17" s="61"/>
      <c r="BG17" s="64"/>
    </row>
    <row r="18" spans="1:59">
      <c r="A18" s="69"/>
      <c r="B18" s="70"/>
      <c r="C18" s="70"/>
      <c r="D18" s="70"/>
      <c r="E18" s="70"/>
      <c r="F18" s="70"/>
      <c r="G18" s="70"/>
      <c r="H18" s="70"/>
      <c r="I18" s="70"/>
      <c r="J18" s="70"/>
      <c r="K18" s="70"/>
      <c r="L18" s="70"/>
      <c r="M18" s="70"/>
      <c r="N18" s="67"/>
      <c r="O18" s="60"/>
      <c r="P18" s="61"/>
      <c r="Q18" s="61"/>
      <c r="R18" s="61"/>
      <c r="S18" s="63"/>
      <c r="T18" s="62"/>
      <c r="U18" s="63"/>
      <c r="V18" s="62"/>
      <c r="W18" s="63" t="s">
        <v>28</v>
      </c>
      <c r="X18" s="62"/>
      <c r="Y18" s="63"/>
      <c r="Z18" s="62"/>
      <c r="AA18" s="63"/>
      <c r="AB18" s="62"/>
      <c r="AC18" s="63"/>
      <c r="AD18" s="62"/>
      <c r="AE18" s="63"/>
      <c r="AF18" s="62"/>
      <c r="AG18" s="63"/>
      <c r="AH18" s="62"/>
      <c r="AI18" s="63"/>
      <c r="AJ18" s="62"/>
      <c r="AK18" s="63"/>
      <c r="AL18" s="62"/>
      <c r="AM18" s="63"/>
      <c r="AN18" s="62"/>
      <c r="AO18" s="63"/>
      <c r="AP18" s="62"/>
      <c r="AQ18" s="63"/>
      <c r="AR18" s="62"/>
      <c r="AS18" s="63"/>
      <c r="AT18" s="62"/>
      <c r="AU18" s="63"/>
      <c r="AV18" s="62"/>
      <c r="AW18" s="61"/>
      <c r="AX18" s="64"/>
      <c r="AY18" s="60"/>
      <c r="AZ18" s="61"/>
      <c r="BA18" s="61"/>
      <c r="BB18" s="61"/>
      <c r="BC18" s="61"/>
      <c r="BD18" s="61"/>
      <c r="BE18" s="61"/>
      <c r="BF18" s="61"/>
      <c r="BG18" s="64"/>
    </row>
    <row r="19" spans="1:59">
      <c r="A19" s="69"/>
      <c r="B19" s="70"/>
      <c r="C19" s="70"/>
      <c r="D19" s="70"/>
      <c r="E19" s="70"/>
      <c r="F19" s="70"/>
      <c r="G19" s="70"/>
      <c r="H19" s="70"/>
      <c r="I19" s="70"/>
      <c r="J19" s="70"/>
      <c r="K19" s="70"/>
      <c r="L19" s="70"/>
      <c r="M19" s="70"/>
      <c r="N19" s="67"/>
      <c r="O19" s="60"/>
      <c r="P19" s="61"/>
      <c r="Q19" s="61"/>
      <c r="R19" s="61"/>
      <c r="S19" s="63"/>
      <c r="T19" s="62"/>
      <c r="U19" s="63"/>
      <c r="V19" s="62"/>
      <c r="W19" s="63" t="s">
        <v>44</v>
      </c>
      <c r="X19" s="62"/>
      <c r="Y19" s="63"/>
      <c r="Z19" s="62"/>
      <c r="AA19" s="63"/>
      <c r="AB19" s="62"/>
      <c r="AC19" s="63"/>
      <c r="AD19" s="62"/>
      <c r="AE19" s="63"/>
      <c r="AF19" s="62"/>
      <c r="AG19" s="63"/>
      <c r="AH19" s="62"/>
      <c r="AI19" s="63"/>
      <c r="AJ19" s="62"/>
      <c r="AK19" s="63"/>
      <c r="AL19" s="62"/>
      <c r="AM19" s="63"/>
      <c r="AN19" s="62"/>
      <c r="AO19" s="63"/>
      <c r="AP19" s="62"/>
      <c r="AQ19" s="63"/>
      <c r="AR19" s="62"/>
      <c r="AS19" s="63"/>
      <c r="AT19" s="62"/>
      <c r="AU19" s="63"/>
      <c r="AV19" s="62"/>
      <c r="AW19" s="61"/>
      <c r="AX19" s="64"/>
      <c r="AY19" s="60"/>
      <c r="AZ19" s="61"/>
      <c r="BA19" s="61"/>
      <c r="BB19" s="61"/>
      <c r="BC19" s="61"/>
      <c r="BD19" s="61"/>
      <c r="BE19" s="61"/>
      <c r="BF19" s="61"/>
      <c r="BG19" s="64"/>
    </row>
    <row r="20" spans="1:59">
      <c r="A20" s="69"/>
      <c r="B20" s="70"/>
      <c r="C20" s="70"/>
      <c r="D20" s="74"/>
      <c r="E20" s="70"/>
      <c r="F20" s="70"/>
      <c r="G20" s="70"/>
      <c r="H20" s="70"/>
      <c r="I20" s="70"/>
      <c r="J20" s="70"/>
      <c r="K20" s="70"/>
      <c r="L20" s="70"/>
      <c r="M20" s="70"/>
      <c r="N20" s="67"/>
      <c r="O20" s="60"/>
      <c r="P20" s="61"/>
      <c r="Q20" s="61"/>
      <c r="R20" s="61"/>
      <c r="S20" s="63"/>
      <c r="T20" s="62"/>
      <c r="U20" s="63"/>
      <c r="V20" s="62"/>
      <c r="W20" s="63" t="s">
        <v>45</v>
      </c>
      <c r="X20" s="62"/>
      <c r="Y20" s="63"/>
      <c r="Z20" s="62"/>
      <c r="AA20" s="63"/>
      <c r="AB20" s="62"/>
      <c r="AC20" s="63"/>
      <c r="AD20" s="62"/>
      <c r="AE20" s="63"/>
      <c r="AF20" s="62"/>
      <c r="AG20" s="63"/>
      <c r="AH20" s="62"/>
      <c r="AI20" s="63"/>
      <c r="AJ20" s="62"/>
      <c r="AK20" s="63"/>
      <c r="AL20" s="62"/>
      <c r="AM20" s="63"/>
      <c r="AN20" s="62"/>
      <c r="AO20" s="63"/>
      <c r="AP20" s="62"/>
      <c r="AQ20" s="63"/>
      <c r="AR20" s="62"/>
      <c r="AS20" s="63"/>
      <c r="AT20" s="62"/>
      <c r="AU20" s="63"/>
      <c r="AV20" s="62"/>
      <c r="AW20" s="61"/>
      <c r="AX20" s="64"/>
      <c r="AY20" s="60"/>
      <c r="AZ20" s="61"/>
      <c r="BA20" s="61"/>
      <c r="BB20" s="61"/>
      <c r="BC20" s="61"/>
      <c r="BD20" s="61"/>
      <c r="BE20" s="61"/>
      <c r="BF20" s="61"/>
      <c r="BG20" s="64"/>
    </row>
    <row r="21" spans="1:59">
      <c r="A21" s="69"/>
      <c r="B21" s="70"/>
      <c r="C21" s="70"/>
      <c r="D21" s="70"/>
      <c r="E21" s="70"/>
      <c r="G21" s="70"/>
      <c r="H21" s="70"/>
      <c r="I21" s="70"/>
      <c r="J21" s="70"/>
      <c r="K21" s="70"/>
      <c r="L21" s="70"/>
      <c r="M21" s="70"/>
      <c r="N21" s="67"/>
      <c r="O21" s="60"/>
      <c r="P21" s="61"/>
      <c r="Q21" s="61"/>
      <c r="R21" s="61"/>
      <c r="S21" s="63"/>
      <c r="T21" s="62"/>
      <c r="U21" s="63"/>
      <c r="V21" s="62"/>
      <c r="W21" s="63" t="s">
        <v>52</v>
      </c>
      <c r="X21" s="62"/>
      <c r="Y21" s="63"/>
      <c r="Z21" s="62"/>
      <c r="AA21" s="63"/>
      <c r="AB21" s="62"/>
      <c r="AC21" s="63"/>
      <c r="AD21" s="62"/>
      <c r="AE21" s="63"/>
      <c r="AF21" s="62"/>
      <c r="AG21" s="63"/>
      <c r="AH21" s="62"/>
      <c r="AI21" s="63"/>
      <c r="AJ21" s="62"/>
      <c r="AK21" s="63"/>
      <c r="AL21" s="62"/>
      <c r="AM21" s="63"/>
      <c r="AN21" s="62"/>
      <c r="AO21" s="63"/>
      <c r="AP21" s="62"/>
      <c r="AQ21" s="63"/>
      <c r="AR21" s="62"/>
      <c r="AS21" s="63"/>
      <c r="AT21" s="62"/>
      <c r="AU21" s="63"/>
      <c r="AV21" s="62"/>
      <c r="AW21" s="61"/>
      <c r="AX21" s="64"/>
      <c r="AY21" s="60"/>
      <c r="AZ21" s="61"/>
      <c r="BA21" s="61"/>
      <c r="BB21" s="61"/>
      <c r="BC21" s="61"/>
      <c r="BD21" s="61"/>
      <c r="BE21" s="61"/>
      <c r="BF21" s="61"/>
      <c r="BG21" s="64"/>
    </row>
    <row r="22" spans="1:59">
      <c r="A22" s="69"/>
      <c r="B22" s="70"/>
      <c r="C22" s="70"/>
      <c r="D22" s="70"/>
      <c r="E22" s="70"/>
      <c r="F22" s="70"/>
      <c r="G22" s="70"/>
      <c r="H22" s="70"/>
      <c r="I22" s="70"/>
      <c r="J22" s="70"/>
      <c r="K22" s="70"/>
      <c r="L22" s="70"/>
      <c r="M22" s="70"/>
      <c r="N22" s="67"/>
      <c r="O22" s="60"/>
      <c r="P22" s="61"/>
      <c r="Q22" s="61"/>
      <c r="R22" s="61"/>
      <c r="S22" s="63"/>
      <c r="T22" s="62"/>
      <c r="U22" s="63"/>
      <c r="V22" s="62"/>
      <c r="W22" s="63"/>
      <c r="X22" s="62" t="s">
        <v>53</v>
      </c>
      <c r="Y22" s="63"/>
      <c r="Z22" s="62"/>
      <c r="AA22" s="63"/>
      <c r="AB22" s="62"/>
      <c r="AC22" s="63"/>
      <c r="AD22" s="62"/>
      <c r="AE22" s="63"/>
      <c r="AF22" s="62"/>
      <c r="AG22" s="63"/>
      <c r="AH22" s="62"/>
      <c r="AI22" s="63"/>
      <c r="AJ22" s="62"/>
      <c r="AK22" s="63"/>
      <c r="AL22" s="62"/>
      <c r="AM22" s="63"/>
      <c r="AN22" s="62"/>
      <c r="AO22" s="63"/>
      <c r="AP22" s="62"/>
      <c r="AQ22" s="63"/>
      <c r="AR22" s="62"/>
      <c r="AS22" s="63"/>
      <c r="AT22" s="62"/>
      <c r="AU22" s="63"/>
      <c r="AV22" s="62"/>
      <c r="AW22" s="61"/>
      <c r="AX22" s="64"/>
      <c r="AY22" s="60"/>
      <c r="AZ22" s="61"/>
      <c r="BA22" s="61"/>
      <c r="BB22" s="61"/>
      <c r="BC22" s="61"/>
      <c r="BD22" s="61"/>
      <c r="BE22" s="61"/>
      <c r="BF22" s="61"/>
      <c r="BG22" s="64"/>
    </row>
    <row r="23" spans="1:59">
      <c r="A23" s="69"/>
      <c r="B23" s="70"/>
      <c r="C23" s="70"/>
      <c r="D23" s="70"/>
      <c r="E23" s="70"/>
      <c r="F23" s="70"/>
      <c r="G23" s="70"/>
      <c r="H23" s="70"/>
      <c r="I23" s="70"/>
      <c r="J23" s="70"/>
      <c r="K23" s="70"/>
      <c r="L23" s="70"/>
      <c r="M23" s="70"/>
      <c r="N23" s="67"/>
      <c r="O23" s="60"/>
      <c r="P23" s="61"/>
      <c r="Q23" s="61"/>
      <c r="R23" s="61"/>
      <c r="S23" s="63"/>
      <c r="T23" s="62"/>
      <c r="U23" s="63"/>
      <c r="V23" s="62"/>
      <c r="W23" s="63"/>
      <c r="X23" s="62" t="s">
        <v>46</v>
      </c>
      <c r="Y23" s="63"/>
      <c r="Z23" s="62"/>
      <c r="AA23" s="63"/>
      <c r="AB23" s="62"/>
      <c r="AC23" s="63"/>
      <c r="AD23" s="62"/>
      <c r="AE23" s="63"/>
      <c r="AF23" s="62"/>
      <c r="AG23" s="63"/>
      <c r="AH23" s="62"/>
      <c r="AI23" s="63"/>
      <c r="AJ23" s="62"/>
      <c r="AK23" s="63"/>
      <c r="AL23" s="62"/>
      <c r="AM23" s="63"/>
      <c r="AN23" s="62"/>
      <c r="AO23" s="63"/>
      <c r="AP23" s="62"/>
      <c r="AQ23" s="63"/>
      <c r="AR23" s="62"/>
      <c r="AS23" s="63"/>
      <c r="AT23" s="62"/>
      <c r="AU23" s="63"/>
      <c r="AV23" s="62"/>
      <c r="AW23" s="61"/>
      <c r="AX23" s="64"/>
      <c r="AY23" s="60"/>
      <c r="AZ23" s="61"/>
      <c r="BA23" s="61"/>
      <c r="BB23" s="61"/>
      <c r="BC23" s="61"/>
      <c r="BD23" s="61"/>
      <c r="BE23" s="61"/>
      <c r="BF23" s="61"/>
      <c r="BG23" s="64"/>
    </row>
    <row r="24" spans="1:59">
      <c r="A24" s="69"/>
      <c r="B24" s="70" t="s">
        <v>59</v>
      </c>
      <c r="C24" s="70"/>
      <c r="D24" s="70"/>
      <c r="E24" s="70"/>
      <c r="F24" s="70"/>
      <c r="G24" s="70"/>
      <c r="H24" s="70"/>
      <c r="I24" s="70"/>
      <c r="J24" s="70"/>
      <c r="K24" s="70"/>
      <c r="L24" s="70"/>
      <c r="M24" s="70"/>
      <c r="N24" s="67"/>
      <c r="O24" s="60"/>
      <c r="P24" s="61"/>
      <c r="Q24" s="61"/>
      <c r="R24" s="61"/>
      <c r="S24" s="63"/>
      <c r="T24" s="62"/>
      <c r="U24" s="63"/>
      <c r="V24" s="62"/>
      <c r="W24" s="63"/>
      <c r="X24" s="62"/>
      <c r="Y24" s="63"/>
      <c r="Z24" s="62"/>
      <c r="AA24" s="63"/>
      <c r="AB24" s="62"/>
      <c r="AC24" s="63"/>
      <c r="AD24" s="62"/>
      <c r="AE24" s="63"/>
      <c r="AF24" s="62"/>
      <c r="AG24" s="63"/>
      <c r="AH24" s="62"/>
      <c r="AI24" s="63"/>
      <c r="AJ24" s="62"/>
      <c r="AK24" s="63"/>
      <c r="AL24" s="62"/>
      <c r="AM24" s="63"/>
      <c r="AN24" s="62"/>
      <c r="AO24" s="63"/>
      <c r="AP24" s="62"/>
      <c r="AQ24" s="63"/>
      <c r="AR24" s="62"/>
      <c r="AS24" s="63"/>
      <c r="AT24" s="62"/>
      <c r="AU24" s="63"/>
      <c r="AV24" s="62"/>
      <c r="AW24" s="61"/>
      <c r="AX24" s="64"/>
      <c r="AY24" s="60"/>
      <c r="AZ24" s="61"/>
      <c r="BA24" s="61"/>
      <c r="BB24" s="61"/>
      <c r="BC24" s="61"/>
      <c r="BD24" s="61"/>
      <c r="BE24" s="61"/>
      <c r="BF24" s="61"/>
      <c r="BG24" s="64"/>
    </row>
    <row r="25" spans="1:59">
      <c r="A25" s="69"/>
      <c r="B25" s="70"/>
      <c r="C25" s="70"/>
      <c r="D25" s="70" t="s">
        <v>48</v>
      </c>
      <c r="E25" s="70"/>
      <c r="F25" s="70"/>
      <c r="G25" s="70"/>
      <c r="H25" s="70"/>
      <c r="I25" s="70"/>
      <c r="J25" s="70"/>
      <c r="K25" s="70"/>
      <c r="L25" s="70"/>
      <c r="M25" s="70"/>
      <c r="N25" s="67"/>
      <c r="O25" s="60"/>
      <c r="P25" s="61"/>
      <c r="Q25" s="61"/>
      <c r="R25" s="61"/>
      <c r="S25" s="63"/>
      <c r="T25" s="62"/>
      <c r="U25" s="63"/>
      <c r="V25" s="62"/>
      <c r="W25" s="63"/>
      <c r="X25" s="62"/>
      <c r="Y25" s="63"/>
      <c r="Z25" s="62"/>
      <c r="AA25" s="63"/>
      <c r="AB25" s="62"/>
      <c r="AC25" s="63"/>
      <c r="AD25" s="62"/>
      <c r="AE25" s="63"/>
      <c r="AF25" s="62"/>
      <c r="AG25" s="63"/>
      <c r="AH25" s="62"/>
      <c r="AI25" s="63"/>
      <c r="AJ25" s="62"/>
      <c r="AK25" s="63"/>
      <c r="AL25" s="62"/>
      <c r="AM25" s="63"/>
      <c r="AN25" s="62"/>
      <c r="AO25" s="63"/>
      <c r="AP25" s="62"/>
      <c r="AQ25" s="63"/>
      <c r="AR25" s="62"/>
      <c r="AS25" s="63"/>
      <c r="AT25" s="62"/>
      <c r="AU25" s="63"/>
      <c r="AV25" s="62"/>
      <c r="AW25" s="61"/>
      <c r="AX25" s="64"/>
      <c r="AY25" s="60"/>
      <c r="AZ25" s="61"/>
      <c r="BA25" s="61"/>
      <c r="BB25" s="61"/>
      <c r="BC25" s="61"/>
      <c r="BD25" s="61"/>
      <c r="BE25" s="61"/>
      <c r="BF25" s="61"/>
      <c r="BG25" s="64"/>
    </row>
    <row r="26" spans="1:59">
      <c r="A26" s="69"/>
      <c r="B26" s="70"/>
      <c r="C26" s="70"/>
      <c r="D26" s="70"/>
      <c r="E26" s="70"/>
      <c r="F26" s="70"/>
      <c r="G26" s="70"/>
      <c r="H26" s="70"/>
      <c r="I26" s="70"/>
      <c r="J26" s="70"/>
      <c r="K26" s="70"/>
      <c r="L26" s="70"/>
      <c r="M26" s="70"/>
      <c r="N26" s="67"/>
      <c r="O26" s="60"/>
      <c r="P26" s="61"/>
      <c r="Q26" s="61"/>
      <c r="R26" s="61"/>
      <c r="S26" s="63"/>
      <c r="T26" s="62"/>
      <c r="U26" s="63"/>
      <c r="V26" s="62"/>
      <c r="W26" s="63"/>
      <c r="X26" s="62"/>
      <c r="Y26" s="63"/>
      <c r="Z26" s="62"/>
      <c r="AA26" s="63"/>
      <c r="AB26" s="62" t="s">
        <v>49</v>
      </c>
      <c r="AC26" s="63"/>
      <c r="AD26" s="62"/>
      <c r="AE26" s="63"/>
      <c r="AF26" s="62"/>
      <c r="AG26" s="63"/>
      <c r="AH26" s="62"/>
      <c r="AI26" s="63"/>
      <c r="AJ26" s="62"/>
      <c r="AK26" s="63"/>
      <c r="AL26" s="62"/>
      <c r="AM26" s="63"/>
      <c r="AN26" s="62"/>
      <c r="AO26" s="63"/>
      <c r="AP26" s="62"/>
      <c r="AQ26" s="63"/>
      <c r="AR26" s="62"/>
      <c r="AS26" s="63"/>
      <c r="AT26" s="62"/>
      <c r="AU26" s="63"/>
      <c r="AV26" s="62"/>
      <c r="AW26" s="61"/>
      <c r="AX26" s="64"/>
      <c r="AY26" s="60"/>
      <c r="AZ26" s="61"/>
      <c r="BA26" s="61"/>
      <c r="BB26" s="61"/>
      <c r="BC26" s="61"/>
      <c r="BD26" s="61"/>
      <c r="BE26" s="61"/>
      <c r="BF26" s="61"/>
      <c r="BG26" s="64"/>
    </row>
    <row r="27" spans="1:59">
      <c r="A27" s="69"/>
      <c r="B27" s="70"/>
      <c r="C27" s="70"/>
      <c r="D27" s="70"/>
      <c r="E27" s="70"/>
      <c r="F27" s="70"/>
      <c r="G27" s="70"/>
      <c r="H27" s="70"/>
      <c r="I27" s="70"/>
      <c r="J27" s="70"/>
      <c r="K27" s="70"/>
      <c r="L27" s="70"/>
      <c r="M27" s="70"/>
      <c r="N27" s="67"/>
      <c r="O27" s="60"/>
      <c r="P27" s="61"/>
      <c r="Q27" s="61"/>
      <c r="R27" s="61"/>
      <c r="S27" s="63"/>
      <c r="T27" s="62"/>
      <c r="U27" s="63"/>
      <c r="V27" s="62"/>
      <c r="W27" s="63"/>
      <c r="X27" s="62"/>
      <c r="Y27" s="63"/>
      <c r="Z27" s="62"/>
      <c r="AA27" s="63"/>
      <c r="AB27" s="62" t="s">
        <v>54</v>
      </c>
      <c r="AC27" s="63"/>
      <c r="AD27" s="62"/>
      <c r="AE27" s="63"/>
      <c r="AF27" s="62"/>
      <c r="AG27" s="63"/>
      <c r="AH27" s="62"/>
      <c r="AI27" s="63"/>
      <c r="AJ27" s="62"/>
      <c r="AK27" s="63"/>
      <c r="AL27" s="62"/>
      <c r="AM27" s="63"/>
      <c r="AN27" s="62"/>
      <c r="AO27" s="63"/>
      <c r="AP27" s="62"/>
      <c r="AQ27" s="63"/>
      <c r="AR27" s="62"/>
      <c r="AS27" s="63"/>
      <c r="AT27" s="62"/>
      <c r="AU27" s="63"/>
      <c r="AV27" s="62"/>
      <c r="AW27" s="61"/>
      <c r="AX27" s="64"/>
      <c r="AY27" s="60"/>
      <c r="AZ27" s="61"/>
      <c r="BA27" s="61"/>
      <c r="BB27" s="61"/>
      <c r="BC27" s="61"/>
      <c r="BD27" s="61"/>
      <c r="BE27" s="61"/>
      <c r="BF27" s="61"/>
      <c r="BG27" s="64"/>
    </row>
    <row r="28" spans="1:59">
      <c r="A28" s="69"/>
      <c r="B28" s="70"/>
      <c r="C28" s="70"/>
      <c r="D28" s="70"/>
      <c r="E28" s="70"/>
      <c r="F28" s="70"/>
      <c r="G28" s="70"/>
      <c r="H28" s="70"/>
      <c r="I28" s="70"/>
      <c r="J28" s="70"/>
      <c r="K28" s="70"/>
      <c r="L28" s="70"/>
      <c r="M28" s="70"/>
      <c r="N28" s="67"/>
      <c r="O28" s="60"/>
      <c r="P28" s="61"/>
      <c r="Q28" s="61"/>
      <c r="R28" s="61"/>
      <c r="S28" s="63"/>
      <c r="T28" s="62"/>
      <c r="U28" s="63"/>
      <c r="V28" s="62"/>
      <c r="W28" s="63"/>
      <c r="X28" s="62"/>
      <c r="Y28" s="63"/>
      <c r="Z28" s="62"/>
      <c r="AA28" s="63"/>
      <c r="AB28" s="62" t="s">
        <v>52</v>
      </c>
      <c r="AC28" s="63"/>
      <c r="AD28" s="62"/>
      <c r="AE28" s="63"/>
      <c r="AF28" s="62"/>
      <c r="AG28" s="63"/>
      <c r="AH28" s="62"/>
      <c r="AI28" s="63"/>
      <c r="AJ28" s="62"/>
      <c r="AK28" s="63"/>
      <c r="AL28" s="62"/>
      <c r="AM28" s="63"/>
      <c r="AN28" s="62"/>
      <c r="AO28" s="63"/>
      <c r="AP28" s="62"/>
      <c r="AQ28" s="63"/>
      <c r="AR28" s="62"/>
      <c r="AS28" s="63"/>
      <c r="AT28" s="62"/>
      <c r="AU28" s="63"/>
      <c r="AV28" s="62"/>
      <c r="AW28" s="61"/>
      <c r="AX28" s="64"/>
      <c r="AY28" s="60"/>
      <c r="AZ28" s="61"/>
      <c r="BA28" s="61"/>
      <c r="BB28" s="61"/>
      <c r="BC28" s="61"/>
      <c r="BD28" s="61"/>
      <c r="BE28" s="61"/>
      <c r="BF28" s="61"/>
      <c r="BG28" s="64"/>
    </row>
    <row r="29" spans="1:59">
      <c r="A29" s="69"/>
      <c r="B29" s="70"/>
      <c r="C29" s="70"/>
      <c r="D29" s="70"/>
      <c r="E29" s="70"/>
      <c r="F29" s="70"/>
      <c r="G29" s="70"/>
      <c r="H29" s="70"/>
      <c r="I29" s="70"/>
      <c r="J29" s="70"/>
      <c r="K29" s="70"/>
      <c r="L29" s="70"/>
      <c r="M29" s="70"/>
      <c r="N29" s="67"/>
      <c r="O29" s="60"/>
      <c r="P29" s="61"/>
      <c r="Q29" s="61"/>
      <c r="R29" s="61"/>
      <c r="S29" s="63"/>
      <c r="T29" s="62"/>
      <c r="U29" s="63"/>
      <c r="V29" s="62"/>
      <c r="W29" s="63"/>
      <c r="X29" s="62"/>
      <c r="Y29" s="63"/>
      <c r="Z29" s="62"/>
      <c r="AA29" s="63"/>
      <c r="AB29" s="62"/>
      <c r="AC29" s="63" t="s">
        <v>53</v>
      </c>
      <c r="AD29" s="62"/>
      <c r="AE29" s="63"/>
      <c r="AF29" s="62"/>
      <c r="AG29" s="63"/>
      <c r="AH29" s="62"/>
      <c r="AI29" s="63"/>
      <c r="AJ29" s="62"/>
      <c r="AK29" s="63"/>
      <c r="AL29" s="62"/>
      <c r="AM29" s="63"/>
      <c r="AN29" s="62"/>
      <c r="AO29" s="63"/>
      <c r="AP29" s="62"/>
      <c r="AQ29" s="63"/>
      <c r="AR29" s="62"/>
      <c r="AS29" s="63"/>
      <c r="AT29" s="62"/>
      <c r="AU29" s="63"/>
      <c r="AV29" s="62"/>
      <c r="AW29" s="61"/>
      <c r="AX29" s="64"/>
      <c r="AY29" s="60"/>
      <c r="AZ29" s="61"/>
      <c r="BA29" s="61"/>
      <c r="BB29" s="61"/>
      <c r="BC29" s="61"/>
      <c r="BD29" s="61"/>
      <c r="BE29" s="61"/>
      <c r="BF29" s="61"/>
      <c r="BG29" s="64"/>
    </row>
    <row r="30" spans="1:59">
      <c r="A30" s="69"/>
      <c r="B30" s="70"/>
      <c r="C30" s="70"/>
      <c r="D30" s="70"/>
      <c r="E30" s="70"/>
      <c r="F30" s="70"/>
      <c r="G30" s="70"/>
      <c r="H30" s="70"/>
      <c r="I30" s="70"/>
      <c r="J30" s="70"/>
      <c r="K30" s="70"/>
      <c r="L30" s="70"/>
      <c r="M30" s="70"/>
      <c r="N30" s="67"/>
      <c r="O30" s="60"/>
      <c r="P30" s="61"/>
      <c r="Q30" s="61"/>
      <c r="R30" s="61"/>
      <c r="S30" s="63"/>
      <c r="T30" s="62"/>
      <c r="U30" s="63"/>
      <c r="V30" s="62"/>
      <c r="W30" s="63"/>
      <c r="X30" s="62"/>
      <c r="Y30" s="63"/>
      <c r="Z30" s="62"/>
      <c r="AA30" s="63"/>
      <c r="AB30" s="62"/>
      <c r="AC30" s="63" t="s">
        <v>46</v>
      </c>
      <c r="AD30" s="62"/>
      <c r="AE30" s="63"/>
      <c r="AF30" s="62"/>
      <c r="AG30" s="63"/>
      <c r="AH30" s="62"/>
      <c r="AI30" s="63"/>
      <c r="AJ30" s="62"/>
      <c r="AK30" s="63"/>
      <c r="AL30" s="62"/>
      <c r="AM30" s="63"/>
      <c r="AN30" s="62"/>
      <c r="AO30" s="63"/>
      <c r="AP30" s="62"/>
      <c r="AQ30" s="63"/>
      <c r="AR30" s="62"/>
      <c r="AS30" s="63"/>
      <c r="AT30" s="62"/>
      <c r="AU30" s="63"/>
      <c r="AV30" s="62"/>
      <c r="AW30" s="61"/>
      <c r="AX30" s="64"/>
      <c r="AY30" s="60"/>
      <c r="AZ30" s="61"/>
      <c r="BA30" s="61"/>
      <c r="BB30" s="61"/>
      <c r="BC30" s="61"/>
      <c r="BD30" s="61"/>
      <c r="BE30" s="61"/>
      <c r="BF30" s="61"/>
      <c r="BG30" s="64"/>
    </row>
    <row r="31" spans="1:59">
      <c r="A31" s="69"/>
      <c r="B31" s="70" t="s">
        <v>38</v>
      </c>
      <c r="C31" s="70"/>
      <c r="D31" s="70"/>
      <c r="E31" s="70"/>
      <c r="F31" s="70"/>
      <c r="G31" s="70"/>
      <c r="H31" s="70"/>
      <c r="I31" s="70"/>
      <c r="J31" s="70"/>
      <c r="K31" s="70"/>
      <c r="L31" s="70"/>
      <c r="M31" s="70"/>
      <c r="N31" s="67"/>
      <c r="O31" s="60"/>
      <c r="P31" s="61"/>
      <c r="Q31" s="61"/>
      <c r="R31" s="61"/>
      <c r="S31" s="63"/>
      <c r="T31" s="62"/>
      <c r="U31" s="63"/>
      <c r="V31" s="62"/>
      <c r="W31" s="63"/>
      <c r="X31" s="62"/>
      <c r="Y31" s="63"/>
      <c r="Z31" s="62"/>
      <c r="AA31" s="63"/>
      <c r="AB31" s="62"/>
      <c r="AC31" s="63"/>
      <c r="AD31" s="62"/>
      <c r="AE31" s="63"/>
      <c r="AF31" s="62"/>
      <c r="AG31" s="63"/>
      <c r="AH31" s="62"/>
      <c r="AI31" s="63"/>
      <c r="AJ31" s="62"/>
      <c r="AK31" s="63"/>
      <c r="AL31" s="62"/>
      <c r="AM31" s="63"/>
      <c r="AN31" s="62"/>
      <c r="AO31" s="63"/>
      <c r="AP31" s="62"/>
      <c r="AQ31" s="63"/>
      <c r="AR31" s="62"/>
      <c r="AS31" s="63"/>
      <c r="AT31" s="62"/>
      <c r="AU31" s="63"/>
      <c r="AV31" s="62"/>
      <c r="AW31" s="61"/>
      <c r="AX31" s="64"/>
      <c r="AY31" s="60"/>
      <c r="AZ31" s="61"/>
      <c r="BA31" s="61"/>
      <c r="BB31" s="61"/>
      <c r="BC31" s="61"/>
      <c r="BD31" s="61"/>
      <c r="BE31" s="61"/>
      <c r="BF31" s="61"/>
      <c r="BG31" s="64"/>
    </row>
    <row r="32" spans="1:59">
      <c r="A32" s="69"/>
      <c r="B32" s="70"/>
      <c r="C32" s="70"/>
      <c r="D32" s="70"/>
      <c r="E32" s="70"/>
      <c r="F32" s="70"/>
      <c r="G32" s="70"/>
      <c r="H32" s="70"/>
      <c r="I32" s="70"/>
      <c r="J32" s="70"/>
      <c r="K32" s="70"/>
      <c r="L32" s="70"/>
      <c r="M32" s="70"/>
      <c r="N32" s="67"/>
      <c r="O32" s="60"/>
      <c r="P32" s="61"/>
      <c r="Q32" s="61"/>
      <c r="R32" s="61"/>
      <c r="S32" s="63"/>
      <c r="T32" s="62"/>
      <c r="U32" s="63"/>
      <c r="V32" s="62"/>
      <c r="W32" s="63"/>
      <c r="X32" s="62"/>
      <c r="Y32" s="63"/>
      <c r="Z32" s="62"/>
      <c r="AA32" s="63"/>
      <c r="AB32" s="62"/>
      <c r="AC32" s="63"/>
      <c r="AD32" s="62"/>
      <c r="AE32" s="63"/>
      <c r="AF32" s="62"/>
      <c r="AG32" s="63"/>
      <c r="AH32" s="62"/>
      <c r="AI32" s="63"/>
      <c r="AJ32" s="62"/>
      <c r="AK32" s="63"/>
      <c r="AL32" s="62"/>
      <c r="AM32" s="63"/>
      <c r="AN32" s="62"/>
      <c r="AO32" s="63"/>
      <c r="AP32" s="62"/>
      <c r="AQ32" s="63"/>
      <c r="AR32" s="62"/>
      <c r="AS32" s="63"/>
      <c r="AT32" s="62"/>
      <c r="AU32" s="63"/>
      <c r="AV32" s="62"/>
      <c r="AW32" s="61"/>
      <c r="AX32" s="64"/>
      <c r="AY32" s="60"/>
      <c r="AZ32" s="61"/>
      <c r="BA32" s="61"/>
      <c r="BB32" s="61"/>
      <c r="BC32" s="61"/>
      <c r="BD32" s="61"/>
      <c r="BE32" s="61"/>
      <c r="BF32" s="61"/>
      <c r="BG32" s="64"/>
    </row>
    <row r="33" spans="1:59">
      <c r="A33" s="69"/>
      <c r="B33" s="70"/>
      <c r="C33" s="70"/>
      <c r="D33" s="70" t="s">
        <v>42</v>
      </c>
      <c r="E33" s="70"/>
      <c r="F33" s="70"/>
      <c r="G33" s="70"/>
      <c r="H33" s="70"/>
      <c r="I33" s="70"/>
      <c r="J33" s="70"/>
      <c r="K33" s="70"/>
      <c r="L33" s="70"/>
      <c r="M33" s="70"/>
      <c r="N33" s="67"/>
      <c r="O33" s="60"/>
      <c r="P33" s="61"/>
      <c r="Q33" s="61"/>
      <c r="R33" s="61"/>
      <c r="S33" s="63"/>
      <c r="T33" s="62"/>
      <c r="U33" s="63"/>
      <c r="V33" s="62"/>
      <c r="W33" s="63"/>
      <c r="X33" s="62"/>
      <c r="Y33" s="63"/>
      <c r="Z33" s="62"/>
      <c r="AA33" s="63"/>
      <c r="AB33" s="62"/>
      <c r="AC33" s="63"/>
      <c r="AD33" s="62"/>
      <c r="AE33" s="63"/>
      <c r="AF33" s="62"/>
      <c r="AG33" s="63"/>
      <c r="AH33" s="62"/>
      <c r="AI33" s="63"/>
      <c r="AJ33" s="62"/>
      <c r="AK33" s="63" t="s">
        <v>45</v>
      </c>
      <c r="AL33" s="62"/>
      <c r="AM33" s="63"/>
      <c r="AN33" s="62"/>
      <c r="AO33" s="63"/>
      <c r="AP33" s="62"/>
      <c r="AQ33" s="63"/>
      <c r="AR33" s="62"/>
      <c r="AS33" s="63"/>
      <c r="AT33" s="62"/>
      <c r="AU33" s="63"/>
      <c r="AV33" s="62"/>
      <c r="AW33" s="61"/>
      <c r="AX33" s="64"/>
      <c r="AY33" s="60"/>
      <c r="AZ33" s="61"/>
      <c r="BA33" s="61"/>
      <c r="BB33" s="61"/>
      <c r="BC33" s="61"/>
      <c r="BD33" s="61"/>
      <c r="BE33" s="61"/>
      <c r="BF33" s="61"/>
      <c r="BG33" s="64"/>
    </row>
    <row r="34" spans="1:59">
      <c r="A34" s="69"/>
      <c r="B34" s="70"/>
      <c r="C34" s="70"/>
      <c r="D34" s="70" t="s">
        <v>43</v>
      </c>
      <c r="E34" s="70"/>
      <c r="F34" s="70"/>
      <c r="G34" s="70"/>
      <c r="H34" s="70"/>
      <c r="I34" s="70"/>
      <c r="J34" s="70"/>
      <c r="K34" s="70"/>
      <c r="L34" s="70"/>
      <c r="M34" s="70"/>
      <c r="N34" s="67"/>
      <c r="O34" s="60"/>
      <c r="P34" s="61"/>
      <c r="Q34" s="61"/>
      <c r="R34" s="61"/>
      <c r="S34" s="63"/>
      <c r="T34" s="62"/>
      <c r="U34" s="63"/>
      <c r="V34" s="62"/>
      <c r="W34" s="63"/>
      <c r="X34" s="62"/>
      <c r="Y34" s="63"/>
      <c r="Z34" s="62"/>
      <c r="AA34" s="63"/>
      <c r="AB34" s="62"/>
      <c r="AC34" s="63"/>
      <c r="AD34" s="62"/>
      <c r="AE34" s="63"/>
      <c r="AF34" s="62"/>
      <c r="AG34" s="63"/>
      <c r="AH34" s="62"/>
      <c r="AI34" s="63"/>
      <c r="AJ34" s="62"/>
      <c r="AK34" s="63" t="s">
        <v>49</v>
      </c>
      <c r="AL34" s="62"/>
      <c r="AM34" s="63"/>
      <c r="AN34" s="62"/>
      <c r="AO34" s="63"/>
      <c r="AP34" s="62"/>
      <c r="AQ34" s="63"/>
      <c r="AR34" s="62"/>
      <c r="AS34" s="63"/>
      <c r="AT34" s="62"/>
      <c r="AU34" s="63"/>
      <c r="AV34" s="62"/>
      <c r="AW34" s="61"/>
      <c r="AX34" s="64"/>
      <c r="AY34" s="60"/>
      <c r="AZ34" s="61"/>
      <c r="BA34" s="61"/>
      <c r="BB34" s="61"/>
      <c r="BC34" s="61"/>
      <c r="BD34" s="61"/>
      <c r="BE34" s="61"/>
      <c r="BF34" s="61"/>
      <c r="BG34" s="64"/>
    </row>
    <row r="35" spans="1:59">
      <c r="A35" s="69"/>
      <c r="B35" s="70"/>
      <c r="C35" s="70"/>
      <c r="D35" s="70"/>
      <c r="E35" s="70"/>
      <c r="F35" s="70"/>
      <c r="G35" s="70"/>
      <c r="H35" s="70"/>
      <c r="I35" s="70"/>
      <c r="J35" s="70"/>
      <c r="K35" s="70"/>
      <c r="L35" s="70"/>
      <c r="M35" s="70"/>
      <c r="N35" s="67"/>
      <c r="O35" s="60"/>
      <c r="P35" s="61"/>
      <c r="Q35" s="61"/>
      <c r="R35" s="61"/>
      <c r="S35" s="63"/>
      <c r="T35" s="62"/>
      <c r="U35" s="63"/>
      <c r="V35" s="62"/>
      <c r="W35" s="63"/>
      <c r="X35" s="62"/>
      <c r="Y35" s="63"/>
      <c r="Z35" s="62"/>
      <c r="AA35" s="63"/>
      <c r="AB35" s="62"/>
      <c r="AC35" s="63"/>
      <c r="AD35" s="62"/>
      <c r="AE35" s="63"/>
      <c r="AF35" s="62"/>
      <c r="AG35" s="63"/>
      <c r="AH35" s="62"/>
      <c r="AI35" s="63"/>
      <c r="AJ35" s="62"/>
      <c r="AK35" s="63" t="s">
        <v>54</v>
      </c>
      <c r="AL35" s="62"/>
      <c r="AM35" s="63"/>
      <c r="AN35" s="62"/>
      <c r="AO35" s="63"/>
      <c r="AP35" s="62"/>
      <c r="AQ35" s="63"/>
      <c r="AR35" s="62"/>
      <c r="AS35" s="63"/>
      <c r="AT35" s="62"/>
      <c r="AU35" s="63"/>
      <c r="AV35" s="62"/>
      <c r="AW35" s="61"/>
      <c r="AX35" s="64"/>
      <c r="AY35" s="60"/>
      <c r="AZ35" s="61"/>
      <c r="BA35" s="61"/>
      <c r="BB35" s="61"/>
      <c r="BC35" s="61"/>
      <c r="BD35" s="61"/>
      <c r="BE35" s="61"/>
      <c r="BF35" s="61"/>
      <c r="BG35" s="64"/>
    </row>
    <row r="36" spans="1:59">
      <c r="A36" s="69"/>
      <c r="B36" s="70"/>
      <c r="C36" s="70"/>
      <c r="D36" s="70"/>
      <c r="E36" s="70"/>
      <c r="F36" s="70"/>
      <c r="G36" s="70"/>
      <c r="H36" s="70"/>
      <c r="I36" s="70"/>
      <c r="J36" s="70"/>
      <c r="K36" s="70"/>
      <c r="L36" s="70"/>
      <c r="M36" s="70"/>
      <c r="N36" s="67"/>
      <c r="O36" s="60"/>
      <c r="P36" s="61"/>
      <c r="Q36" s="61"/>
      <c r="R36" s="61"/>
      <c r="S36" s="63"/>
      <c r="T36" s="62"/>
      <c r="U36" s="63"/>
      <c r="V36" s="62"/>
      <c r="W36" s="63"/>
      <c r="X36" s="62"/>
      <c r="Y36" s="63"/>
      <c r="Z36" s="62"/>
      <c r="AA36" s="63"/>
      <c r="AB36" s="62"/>
      <c r="AC36" s="63"/>
      <c r="AD36" s="62"/>
      <c r="AE36" s="63"/>
      <c r="AF36" s="62"/>
      <c r="AG36" s="63"/>
      <c r="AH36" s="62"/>
      <c r="AI36" s="63"/>
      <c r="AJ36" s="62"/>
      <c r="AK36" s="63" t="s">
        <v>52</v>
      </c>
      <c r="AL36" s="62"/>
      <c r="AM36" s="63"/>
      <c r="AN36" s="62"/>
      <c r="AO36" s="63"/>
      <c r="AP36" s="62"/>
      <c r="AQ36" s="63"/>
      <c r="AR36" s="62"/>
      <c r="AS36" s="63"/>
      <c r="AT36" s="62"/>
      <c r="AU36" s="63"/>
      <c r="AV36" s="62"/>
      <c r="AW36" s="61"/>
      <c r="AX36" s="64"/>
      <c r="AY36" s="60"/>
      <c r="AZ36" s="61"/>
      <c r="BA36" s="61"/>
      <c r="BB36" s="61"/>
      <c r="BC36" s="61"/>
      <c r="BD36" s="61"/>
      <c r="BE36" s="61"/>
      <c r="BF36" s="61"/>
      <c r="BG36" s="64"/>
    </row>
    <row r="37" spans="1:59">
      <c r="A37" s="69"/>
      <c r="B37" s="70"/>
      <c r="C37" s="70"/>
      <c r="D37" s="70"/>
      <c r="E37" s="70"/>
      <c r="F37" s="70"/>
      <c r="G37" s="70"/>
      <c r="H37" s="70"/>
      <c r="I37" s="70"/>
      <c r="J37" s="70"/>
      <c r="K37" s="70"/>
      <c r="L37" s="70"/>
      <c r="M37" s="70"/>
      <c r="N37" s="67"/>
      <c r="O37" s="60"/>
      <c r="P37" s="61"/>
      <c r="Q37" s="61"/>
      <c r="R37" s="61"/>
      <c r="S37" s="63"/>
      <c r="T37" s="62"/>
      <c r="U37" s="63"/>
      <c r="V37" s="62"/>
      <c r="W37" s="63"/>
      <c r="X37" s="62"/>
      <c r="Y37" s="63"/>
      <c r="Z37" s="62"/>
      <c r="AA37" s="63"/>
      <c r="AB37" s="62"/>
      <c r="AC37" s="63"/>
      <c r="AD37" s="62"/>
      <c r="AE37" s="63"/>
      <c r="AF37" s="62"/>
      <c r="AG37" s="63"/>
      <c r="AH37" s="62"/>
      <c r="AI37" s="63"/>
      <c r="AJ37" s="62"/>
      <c r="AK37" s="63"/>
      <c r="AL37" s="62" t="s">
        <v>53</v>
      </c>
      <c r="AM37" s="63"/>
      <c r="AN37" s="62"/>
      <c r="AO37" s="63"/>
      <c r="AP37" s="62"/>
      <c r="AQ37" s="63"/>
      <c r="AR37" s="62"/>
      <c r="AS37" s="63"/>
      <c r="AT37" s="62"/>
      <c r="AU37" s="63"/>
      <c r="AV37" s="62"/>
      <c r="AW37" s="61"/>
      <c r="AX37" s="64"/>
      <c r="AY37" s="60"/>
      <c r="AZ37" s="61"/>
      <c r="BA37" s="61"/>
      <c r="BB37" s="61"/>
      <c r="BC37" s="61"/>
      <c r="BD37" s="61"/>
      <c r="BE37" s="61"/>
      <c r="BF37" s="61"/>
      <c r="BG37" s="64"/>
    </row>
    <row r="38" spans="1:59">
      <c r="A38" s="69"/>
      <c r="B38" s="70"/>
      <c r="C38" s="70"/>
      <c r="D38" s="70"/>
      <c r="E38" s="70"/>
      <c r="F38" s="70"/>
      <c r="G38" s="70"/>
      <c r="H38" s="70"/>
      <c r="I38" s="70"/>
      <c r="J38" s="70"/>
      <c r="K38" s="70"/>
      <c r="L38" s="70"/>
      <c r="M38" s="70"/>
      <c r="N38" s="67"/>
      <c r="O38" s="60"/>
      <c r="P38" s="61"/>
      <c r="Q38" s="61"/>
      <c r="R38" s="61"/>
      <c r="S38" s="63"/>
      <c r="T38" s="62"/>
      <c r="U38" s="63"/>
      <c r="V38" s="62"/>
      <c r="W38" s="63"/>
      <c r="X38" s="62"/>
      <c r="Y38" s="63"/>
      <c r="Z38" s="62"/>
      <c r="AA38" s="63"/>
      <c r="AB38" s="62"/>
      <c r="AC38" s="63"/>
      <c r="AD38" s="62"/>
      <c r="AE38" s="63"/>
      <c r="AF38" s="62"/>
      <c r="AG38" s="63"/>
      <c r="AH38" s="62"/>
      <c r="AI38" s="63"/>
      <c r="AJ38" s="62"/>
      <c r="AK38" s="63"/>
      <c r="AL38" s="62" t="s">
        <v>46</v>
      </c>
      <c r="AM38" s="63"/>
      <c r="AN38" s="62"/>
      <c r="AO38" s="63"/>
      <c r="AP38" s="62"/>
      <c r="AQ38" s="63"/>
      <c r="AR38" s="62"/>
      <c r="AS38" s="63"/>
      <c r="AT38" s="62"/>
      <c r="AU38" s="63"/>
      <c r="AV38" s="62"/>
      <c r="AW38" s="61"/>
      <c r="AX38" s="64"/>
      <c r="AY38" s="60"/>
      <c r="AZ38" s="61"/>
      <c r="BA38" s="61"/>
      <c r="BB38" s="61"/>
      <c r="BC38" s="61"/>
      <c r="BD38" s="61"/>
      <c r="BE38" s="61"/>
      <c r="BF38" s="61"/>
      <c r="BG38" s="64"/>
    </row>
    <row r="39" spans="1:59">
      <c r="A39" s="69"/>
      <c r="B39" s="70" t="s">
        <v>39</v>
      </c>
      <c r="C39" s="70"/>
      <c r="D39" s="70"/>
      <c r="E39" s="70"/>
      <c r="F39" s="70"/>
      <c r="G39" s="70"/>
      <c r="H39" s="70"/>
      <c r="I39" s="70"/>
      <c r="J39" s="70"/>
      <c r="K39" s="70"/>
      <c r="L39" s="70"/>
      <c r="M39" s="70"/>
      <c r="N39" s="67"/>
      <c r="O39" s="60"/>
      <c r="P39" s="61"/>
      <c r="Q39" s="61"/>
      <c r="R39" s="61"/>
      <c r="S39" s="63"/>
      <c r="T39" s="62"/>
      <c r="U39" s="63"/>
      <c r="V39" s="62"/>
      <c r="W39" s="63"/>
      <c r="X39" s="62"/>
      <c r="Y39" s="63"/>
      <c r="Z39" s="62"/>
      <c r="AA39" s="63"/>
      <c r="AB39" s="62"/>
      <c r="AC39" s="63"/>
      <c r="AD39" s="62"/>
      <c r="AE39" s="63"/>
      <c r="AF39" s="62"/>
      <c r="AG39" s="63"/>
      <c r="AH39" s="62"/>
      <c r="AI39" s="63"/>
      <c r="AJ39" s="62"/>
      <c r="AK39" s="63"/>
      <c r="AL39" s="62"/>
      <c r="AM39" s="63"/>
      <c r="AN39" s="62"/>
      <c r="AO39" s="63"/>
      <c r="AP39" s="62"/>
      <c r="AQ39" s="63"/>
      <c r="AR39" s="62"/>
      <c r="AS39" s="63"/>
      <c r="AT39" s="62"/>
      <c r="AU39" s="63"/>
      <c r="AV39" s="62"/>
      <c r="AW39" s="61"/>
      <c r="AX39" s="64"/>
      <c r="AY39" s="60"/>
      <c r="AZ39" s="61"/>
      <c r="BA39" s="61"/>
      <c r="BB39" s="61"/>
      <c r="BC39" s="61"/>
      <c r="BD39" s="61"/>
      <c r="BE39" s="61"/>
      <c r="BF39" s="61"/>
      <c r="BG39" s="64"/>
    </row>
    <row r="40" spans="1:59">
      <c r="A40" s="69"/>
      <c r="B40" s="70"/>
      <c r="C40" s="70"/>
      <c r="D40" s="70" t="s">
        <v>41</v>
      </c>
      <c r="E40" s="70"/>
      <c r="F40" s="70"/>
      <c r="G40" s="70"/>
      <c r="H40" s="70"/>
      <c r="I40" s="70"/>
      <c r="J40" s="70"/>
      <c r="K40" s="70"/>
      <c r="L40" s="70"/>
      <c r="M40" s="70"/>
      <c r="N40" s="67"/>
      <c r="O40" s="60"/>
      <c r="P40" s="61"/>
      <c r="Q40" s="61"/>
      <c r="R40" s="61"/>
      <c r="S40" s="63"/>
      <c r="T40" s="62"/>
      <c r="U40" s="63"/>
      <c r="V40" s="62"/>
      <c r="W40" s="63"/>
      <c r="X40" s="62"/>
      <c r="Y40" s="63"/>
      <c r="Z40" s="62"/>
      <c r="AA40" s="63"/>
      <c r="AB40" s="62"/>
      <c r="AC40" s="63"/>
      <c r="AD40" s="62"/>
      <c r="AE40" s="63"/>
      <c r="AF40" s="62"/>
      <c r="AG40" s="63"/>
      <c r="AH40" s="62"/>
      <c r="AI40" s="63"/>
      <c r="AJ40" s="62"/>
      <c r="AK40" s="63"/>
      <c r="AL40" s="62"/>
      <c r="AM40" s="63"/>
      <c r="AN40" s="62"/>
      <c r="AO40" s="63"/>
      <c r="AP40" s="62"/>
      <c r="AQ40" s="63"/>
      <c r="AR40" s="62"/>
      <c r="AS40" s="63"/>
      <c r="AT40" s="62"/>
      <c r="AU40" s="63"/>
      <c r="AV40" s="62"/>
      <c r="AW40" s="61"/>
      <c r="AX40" s="64"/>
      <c r="AY40" s="60"/>
      <c r="AZ40" s="61"/>
      <c r="BA40" s="61"/>
      <c r="BB40" s="61"/>
      <c r="BC40" s="61"/>
      <c r="BD40" s="61"/>
      <c r="BE40" s="61"/>
      <c r="BF40" s="61"/>
      <c r="BG40" s="64"/>
    </row>
    <row r="41" spans="1:59">
      <c r="A41" s="69"/>
      <c r="B41" s="70"/>
      <c r="C41" s="70"/>
      <c r="D41" s="70"/>
      <c r="E41" s="70"/>
      <c r="F41" s="70"/>
      <c r="G41" s="70"/>
      <c r="H41" s="70"/>
      <c r="I41" s="70"/>
      <c r="J41" s="70"/>
      <c r="K41" s="70"/>
      <c r="L41" s="70"/>
      <c r="M41" s="70"/>
      <c r="N41" s="67"/>
      <c r="O41" s="60"/>
      <c r="P41" s="61"/>
      <c r="Q41" s="61"/>
      <c r="R41" s="61"/>
      <c r="S41" s="63"/>
      <c r="T41" s="62"/>
      <c r="U41" s="63"/>
      <c r="V41" s="62"/>
      <c r="W41" s="63"/>
      <c r="X41" s="62"/>
      <c r="Y41" s="63"/>
      <c r="Z41" s="62"/>
      <c r="AA41" s="63"/>
      <c r="AB41" s="62"/>
      <c r="AC41" s="63"/>
      <c r="AD41" s="62"/>
      <c r="AE41" s="63"/>
      <c r="AF41" s="62"/>
      <c r="AG41" s="63"/>
      <c r="AH41" s="62"/>
      <c r="AI41" s="63"/>
      <c r="AJ41" s="62" t="s">
        <v>50</v>
      </c>
      <c r="AK41" s="63"/>
      <c r="AL41" s="62"/>
      <c r="AM41" s="63"/>
      <c r="AN41" s="62"/>
      <c r="AO41" s="63"/>
      <c r="AP41" s="62"/>
      <c r="AQ41" s="63"/>
      <c r="AR41" s="62"/>
      <c r="AS41" s="63"/>
      <c r="AT41" s="62"/>
      <c r="AU41" s="63"/>
      <c r="AV41" s="62"/>
      <c r="AW41" s="61"/>
      <c r="AX41" s="64"/>
      <c r="AY41" s="60"/>
      <c r="AZ41" s="61"/>
      <c r="BA41" s="61"/>
      <c r="BB41" s="61"/>
      <c r="BC41" s="61"/>
      <c r="BD41" s="61"/>
      <c r="BE41" s="61"/>
      <c r="BF41" s="61"/>
      <c r="BG41" s="64"/>
    </row>
    <row r="42" spans="1:59">
      <c r="A42" s="69"/>
      <c r="B42" s="70"/>
      <c r="C42" s="70"/>
      <c r="D42" s="70"/>
      <c r="E42" s="70"/>
      <c r="F42" s="70"/>
      <c r="G42" s="70"/>
      <c r="H42" s="70"/>
      <c r="I42" s="70"/>
      <c r="J42" s="70"/>
      <c r="K42" s="70"/>
      <c r="L42" s="70"/>
      <c r="M42" s="70"/>
      <c r="N42" s="67"/>
      <c r="O42" s="60"/>
      <c r="P42" s="61"/>
      <c r="Q42" s="61"/>
      <c r="R42" s="61"/>
      <c r="S42" s="63"/>
      <c r="T42" s="62"/>
      <c r="U42" s="63"/>
      <c r="V42" s="62"/>
      <c r="W42" s="63"/>
      <c r="X42" s="62"/>
      <c r="Y42" s="63"/>
      <c r="Z42" s="62"/>
      <c r="AA42" s="63"/>
      <c r="AB42" s="62"/>
      <c r="AC42" s="63"/>
      <c r="AD42" s="62"/>
      <c r="AE42" s="63"/>
      <c r="AF42" s="62"/>
      <c r="AG42" s="63"/>
      <c r="AH42" s="62"/>
      <c r="AI42" s="63"/>
      <c r="AJ42" s="62" t="s">
        <v>41</v>
      </c>
      <c r="AK42" s="63"/>
      <c r="AL42" s="62"/>
      <c r="AM42" s="63"/>
      <c r="AN42" s="62"/>
      <c r="AO42" s="63"/>
      <c r="AP42" s="62"/>
      <c r="AQ42" s="63"/>
      <c r="AR42" s="62"/>
      <c r="AS42" s="63"/>
      <c r="AT42" s="62"/>
      <c r="AU42" s="63"/>
      <c r="AV42" s="62"/>
      <c r="AW42" s="61"/>
      <c r="AX42" s="64"/>
      <c r="AY42" s="60"/>
      <c r="AZ42" s="61"/>
      <c r="BA42" s="61"/>
      <c r="BB42" s="61"/>
      <c r="BC42" s="61"/>
      <c r="BD42" s="61"/>
      <c r="BE42" s="61"/>
      <c r="BF42" s="61"/>
      <c r="BG42" s="64"/>
    </row>
    <row r="43" spans="1:59">
      <c r="A43" s="69"/>
      <c r="B43" s="70"/>
      <c r="C43" s="70"/>
      <c r="D43" s="70"/>
      <c r="E43" s="70"/>
      <c r="F43" s="70"/>
      <c r="G43" s="70"/>
      <c r="H43" s="70"/>
      <c r="I43" s="70"/>
      <c r="J43" s="70"/>
      <c r="K43" s="70"/>
      <c r="L43" s="70"/>
      <c r="M43" s="70"/>
      <c r="N43" s="67"/>
      <c r="O43" s="60"/>
      <c r="P43" s="61"/>
      <c r="Q43" s="61"/>
      <c r="R43" s="61"/>
      <c r="S43" s="63"/>
      <c r="T43" s="62"/>
      <c r="U43" s="63"/>
      <c r="V43" s="62"/>
      <c r="W43" s="63"/>
      <c r="X43" s="62"/>
      <c r="Y43" s="63"/>
      <c r="Z43" s="62"/>
      <c r="AA43" s="63"/>
      <c r="AB43" s="62"/>
      <c r="AC43" s="63"/>
      <c r="AD43" s="62"/>
      <c r="AE43" s="63"/>
      <c r="AF43" s="62"/>
      <c r="AG43" s="63"/>
      <c r="AH43" s="62"/>
      <c r="AI43" s="63"/>
      <c r="AJ43" s="62"/>
      <c r="AK43" s="63" t="s">
        <v>51</v>
      </c>
      <c r="AL43" s="62"/>
      <c r="AM43" s="63"/>
      <c r="AN43" s="62"/>
      <c r="AO43" s="63"/>
      <c r="AP43" s="62"/>
      <c r="AQ43" s="63"/>
      <c r="AR43" s="62"/>
      <c r="AS43" s="63"/>
      <c r="AT43" s="62"/>
      <c r="AU43" s="63"/>
      <c r="AV43" s="62"/>
      <c r="AW43" s="61"/>
      <c r="AX43" s="64"/>
      <c r="AY43" s="60"/>
      <c r="AZ43" s="61"/>
      <c r="BA43" s="61"/>
      <c r="BB43" s="61"/>
      <c r="BC43" s="61"/>
      <c r="BD43" s="61"/>
      <c r="BE43" s="61"/>
      <c r="BF43" s="61"/>
      <c r="BG43" s="64"/>
    </row>
    <row r="44" spans="1:59">
      <c r="A44" s="69"/>
      <c r="B44" s="70"/>
      <c r="C44" s="70"/>
      <c r="D44" s="70"/>
      <c r="E44" s="70"/>
      <c r="F44" s="70"/>
      <c r="G44" s="70"/>
      <c r="H44" s="70"/>
      <c r="I44" s="70"/>
      <c r="J44" s="70"/>
      <c r="K44" s="70"/>
      <c r="L44" s="70"/>
      <c r="M44" s="70"/>
      <c r="N44" s="67"/>
      <c r="O44" s="60"/>
      <c r="P44" s="61"/>
      <c r="Q44" s="61"/>
      <c r="R44" s="61"/>
      <c r="S44" s="63"/>
      <c r="T44" s="62"/>
      <c r="U44" s="63"/>
      <c r="V44" s="62"/>
      <c r="W44" s="63"/>
      <c r="X44" s="62"/>
      <c r="Y44" s="63"/>
      <c r="Z44" s="62"/>
      <c r="AA44" s="63"/>
      <c r="AB44" s="62"/>
      <c r="AC44" s="63"/>
      <c r="AD44" s="62"/>
      <c r="AE44" s="63"/>
      <c r="AF44" s="62"/>
      <c r="AG44" s="63"/>
      <c r="AH44" s="62"/>
      <c r="AI44" s="63"/>
      <c r="AJ44" s="62" t="s">
        <v>52</v>
      </c>
      <c r="AK44" s="63"/>
      <c r="AL44" s="62"/>
      <c r="AM44" s="63"/>
      <c r="AN44" s="62"/>
      <c r="AO44" s="63"/>
      <c r="AP44" s="62"/>
      <c r="AQ44" s="63"/>
      <c r="AR44" s="62"/>
      <c r="AS44" s="63"/>
      <c r="AT44" s="62"/>
      <c r="AU44" s="63"/>
      <c r="AV44" s="62"/>
      <c r="AW44" s="61"/>
      <c r="AX44" s="64"/>
      <c r="AY44" s="60"/>
      <c r="AZ44" s="61"/>
      <c r="BA44" s="61"/>
      <c r="BB44" s="61"/>
      <c r="BC44" s="61"/>
      <c r="BD44" s="61"/>
      <c r="BE44" s="61"/>
      <c r="BF44" s="61"/>
      <c r="BG44" s="64"/>
    </row>
    <row r="45" spans="1:59">
      <c r="A45" s="69"/>
      <c r="B45" s="70"/>
      <c r="C45" s="70"/>
      <c r="D45" s="70"/>
      <c r="E45" s="70"/>
      <c r="F45" s="70"/>
      <c r="G45" s="70"/>
      <c r="H45" s="70"/>
      <c r="I45" s="70"/>
      <c r="J45" s="70"/>
      <c r="K45" s="70"/>
      <c r="L45" s="70"/>
      <c r="M45" s="70"/>
      <c r="N45" s="67"/>
      <c r="O45" s="60"/>
      <c r="P45" s="61"/>
      <c r="Q45" s="61"/>
      <c r="R45" s="61"/>
      <c r="S45" s="63"/>
      <c r="T45" s="62"/>
      <c r="U45" s="63"/>
      <c r="V45" s="62"/>
      <c r="W45" s="63"/>
      <c r="X45" s="62"/>
      <c r="Y45" s="63"/>
      <c r="Z45" s="62"/>
      <c r="AA45" s="63"/>
      <c r="AB45" s="62"/>
      <c r="AC45" s="63"/>
      <c r="AD45" s="62"/>
      <c r="AE45" s="63"/>
      <c r="AF45" s="62"/>
      <c r="AG45" s="63"/>
      <c r="AH45" s="62"/>
      <c r="AI45" s="63"/>
      <c r="AJ45" s="62"/>
      <c r="AK45" s="63" t="s">
        <v>53</v>
      </c>
      <c r="AL45" s="62"/>
      <c r="AM45" s="63"/>
      <c r="AN45" s="62"/>
      <c r="AO45" s="63"/>
      <c r="AP45" s="62"/>
      <c r="AQ45" s="63"/>
      <c r="AR45" s="62"/>
      <c r="AS45" s="63"/>
      <c r="AT45" s="62"/>
      <c r="AU45" s="63"/>
      <c r="AV45" s="62"/>
      <c r="AW45" s="61"/>
      <c r="AX45" s="64"/>
      <c r="AY45" s="60"/>
      <c r="AZ45" s="61"/>
      <c r="BA45" s="61"/>
      <c r="BB45" s="61"/>
      <c r="BC45" s="61"/>
      <c r="BD45" s="61"/>
      <c r="BE45" s="61"/>
      <c r="BF45" s="61"/>
      <c r="BG45" s="64"/>
    </row>
    <row r="46" spans="1:59">
      <c r="A46" s="69"/>
      <c r="B46" s="70"/>
      <c r="C46" s="70"/>
      <c r="D46" s="70"/>
      <c r="E46" s="70"/>
      <c r="F46" s="70"/>
      <c r="G46" s="70"/>
      <c r="H46" s="70"/>
      <c r="I46" s="70"/>
      <c r="J46" s="70"/>
      <c r="K46" s="70"/>
      <c r="L46" s="70"/>
      <c r="M46" s="70"/>
      <c r="N46" s="67"/>
      <c r="O46" s="60"/>
      <c r="P46" s="61"/>
      <c r="Q46" s="61"/>
      <c r="R46" s="61"/>
      <c r="S46" s="63"/>
      <c r="T46" s="62"/>
      <c r="U46" s="63"/>
      <c r="V46" s="62"/>
      <c r="W46" s="63"/>
      <c r="X46" s="62"/>
      <c r="Y46" s="63"/>
      <c r="Z46" s="62"/>
      <c r="AA46" s="63"/>
      <c r="AB46" s="62"/>
      <c r="AC46" s="63"/>
      <c r="AD46" s="62"/>
      <c r="AE46" s="63"/>
      <c r="AF46" s="62"/>
      <c r="AG46" s="63"/>
      <c r="AH46" s="62"/>
      <c r="AI46" s="63"/>
      <c r="AJ46" s="62"/>
      <c r="AK46" s="63" t="s">
        <v>46</v>
      </c>
      <c r="AL46" s="62"/>
      <c r="AM46" s="63"/>
      <c r="AN46" s="62"/>
      <c r="AO46" s="63"/>
      <c r="AP46" s="62"/>
      <c r="AQ46" s="63"/>
      <c r="AR46" s="62"/>
      <c r="AS46" s="63"/>
      <c r="AT46" s="62"/>
      <c r="AU46" s="63"/>
      <c r="AV46" s="62"/>
      <c r="AW46" s="61"/>
      <c r="AX46" s="64"/>
      <c r="AY46" s="60"/>
      <c r="AZ46" s="61"/>
      <c r="BA46" s="61"/>
      <c r="BB46" s="61"/>
      <c r="BC46" s="61"/>
      <c r="BD46" s="61"/>
      <c r="BE46" s="61"/>
      <c r="BF46" s="61"/>
      <c r="BG46" s="64"/>
    </row>
    <row r="47" spans="1:59">
      <c r="A47" s="69"/>
      <c r="B47" s="70" t="s">
        <v>40</v>
      </c>
      <c r="C47" s="70"/>
      <c r="D47" s="70"/>
      <c r="E47" s="70"/>
      <c r="F47" s="70"/>
      <c r="G47" s="70"/>
      <c r="H47" s="70"/>
      <c r="I47" s="70"/>
      <c r="J47" s="70"/>
      <c r="K47" s="70"/>
      <c r="L47" s="70"/>
      <c r="M47" s="70"/>
      <c r="N47" s="67"/>
      <c r="O47" s="60"/>
      <c r="P47" s="61"/>
      <c r="Q47" s="61"/>
      <c r="R47" s="61"/>
      <c r="S47" s="63"/>
      <c r="T47" s="62"/>
      <c r="U47" s="63"/>
      <c r="V47" s="62"/>
      <c r="W47" s="63"/>
      <c r="X47" s="62"/>
      <c r="Y47" s="63"/>
      <c r="Z47" s="62"/>
      <c r="AA47" s="63"/>
      <c r="AB47" s="62"/>
      <c r="AC47" s="63"/>
      <c r="AD47" s="62"/>
      <c r="AE47" s="63"/>
      <c r="AF47" s="62"/>
      <c r="AG47" s="63"/>
      <c r="AH47" s="62"/>
      <c r="AI47" s="63"/>
      <c r="AJ47" s="62"/>
      <c r="AK47" s="63"/>
      <c r="AL47" s="62"/>
      <c r="AM47" s="63"/>
      <c r="AN47" s="62"/>
      <c r="AO47" s="63"/>
      <c r="AP47" s="62"/>
      <c r="AQ47" s="63"/>
      <c r="AR47" s="62"/>
      <c r="AS47" s="63"/>
      <c r="AT47" s="62"/>
      <c r="AU47" s="63"/>
      <c r="AV47" s="62"/>
      <c r="AW47" s="61"/>
      <c r="AX47" s="64"/>
      <c r="AY47" s="60"/>
      <c r="AZ47" s="61"/>
      <c r="BA47" s="61"/>
      <c r="BB47" s="61"/>
      <c r="BC47" s="61"/>
      <c r="BD47" s="61"/>
      <c r="BE47" s="61"/>
      <c r="BF47" s="61"/>
      <c r="BG47" s="64"/>
    </row>
    <row r="48" spans="1:59">
      <c r="A48" s="69"/>
      <c r="B48" s="70"/>
      <c r="C48" s="70"/>
      <c r="D48" s="70"/>
      <c r="E48" s="70"/>
      <c r="F48" s="70"/>
      <c r="G48" s="70"/>
      <c r="H48" s="70"/>
      <c r="I48" s="70"/>
      <c r="J48" s="70"/>
      <c r="K48" s="70"/>
      <c r="L48" s="70"/>
      <c r="M48" s="70"/>
      <c r="N48" s="67"/>
      <c r="O48" s="60"/>
      <c r="P48" s="61"/>
      <c r="Q48" s="61"/>
      <c r="R48" s="61"/>
      <c r="S48" s="63"/>
      <c r="T48" s="62"/>
      <c r="U48" s="63"/>
      <c r="V48" s="62"/>
      <c r="W48" s="63"/>
      <c r="X48" s="62"/>
      <c r="Y48" s="63"/>
      <c r="Z48" s="62"/>
      <c r="AA48" s="63"/>
      <c r="AB48" s="62"/>
      <c r="AC48" s="63"/>
      <c r="AD48" s="62"/>
      <c r="AE48" s="63"/>
      <c r="AF48" s="62"/>
      <c r="AG48" s="63"/>
      <c r="AH48" s="62"/>
      <c r="AI48" s="63"/>
      <c r="AJ48" s="62"/>
      <c r="AK48" s="63"/>
      <c r="AL48" s="62"/>
      <c r="AM48" s="63"/>
      <c r="AN48" s="62"/>
      <c r="AO48" s="63"/>
      <c r="AP48" s="62"/>
      <c r="AQ48" s="63" t="s">
        <v>44</v>
      </c>
      <c r="AR48" s="62"/>
      <c r="AS48" s="63"/>
      <c r="AT48" s="62"/>
      <c r="AU48" s="63"/>
      <c r="AV48" s="62"/>
      <c r="AW48" s="61"/>
      <c r="AX48" s="64"/>
      <c r="AY48" s="60"/>
      <c r="AZ48" s="61"/>
      <c r="BA48" s="61"/>
      <c r="BB48" s="61"/>
      <c r="BC48" s="61"/>
      <c r="BD48" s="61"/>
      <c r="BE48" s="61"/>
      <c r="BF48" s="61"/>
      <c r="BG48" s="64"/>
    </row>
    <row r="49" spans="1:59">
      <c r="A49" s="69"/>
      <c r="B49" s="70"/>
      <c r="C49" s="70"/>
      <c r="D49" s="70"/>
      <c r="E49" s="70"/>
      <c r="F49" s="70"/>
      <c r="G49" s="70"/>
      <c r="H49" s="70"/>
      <c r="I49" s="70"/>
      <c r="J49" s="70"/>
      <c r="K49" s="70"/>
      <c r="L49" s="70"/>
      <c r="M49" s="70"/>
      <c r="N49" s="67"/>
      <c r="O49" s="60"/>
      <c r="P49" s="61"/>
      <c r="Q49" s="61"/>
      <c r="R49" s="61"/>
      <c r="S49" s="63"/>
      <c r="T49" s="62"/>
      <c r="U49" s="63"/>
      <c r="V49" s="62"/>
      <c r="W49" s="63"/>
      <c r="X49" s="62"/>
      <c r="Y49" s="63"/>
      <c r="Z49" s="62"/>
      <c r="AA49" s="63"/>
      <c r="AB49" s="62"/>
      <c r="AC49" s="63"/>
      <c r="AD49" s="62"/>
      <c r="AE49" s="63"/>
      <c r="AF49" s="62"/>
      <c r="AG49" s="63"/>
      <c r="AH49" s="62"/>
      <c r="AI49" s="63"/>
      <c r="AJ49" s="62"/>
      <c r="AK49" s="63"/>
      <c r="AL49" s="62"/>
      <c r="AM49" s="63"/>
      <c r="AN49" s="62"/>
      <c r="AO49" s="63"/>
      <c r="AP49" s="62"/>
      <c r="AQ49" s="63" t="s">
        <v>45</v>
      </c>
      <c r="AR49" s="62"/>
      <c r="AS49" s="63"/>
      <c r="AT49" s="62"/>
      <c r="AU49" s="63"/>
      <c r="AV49" s="62"/>
      <c r="AW49" s="61"/>
      <c r="AX49" s="64"/>
      <c r="AY49" s="60"/>
      <c r="AZ49" s="61"/>
      <c r="BA49" s="61"/>
      <c r="BB49" s="61"/>
      <c r="BC49" s="61"/>
      <c r="BD49" s="61"/>
      <c r="BE49" s="61"/>
      <c r="BF49" s="61"/>
      <c r="BG49" s="64"/>
    </row>
    <row r="50" spans="1:59">
      <c r="A50" s="69"/>
      <c r="B50" s="70"/>
      <c r="C50" s="70"/>
      <c r="D50" s="70"/>
      <c r="E50" s="70"/>
      <c r="F50" s="70"/>
      <c r="G50" s="70"/>
      <c r="H50" s="70"/>
      <c r="I50" s="70"/>
      <c r="J50" s="70"/>
      <c r="K50" s="70"/>
      <c r="L50" s="70"/>
      <c r="M50" s="70"/>
      <c r="N50" s="67"/>
      <c r="O50" s="60"/>
      <c r="P50" s="61"/>
      <c r="Q50" s="61"/>
      <c r="R50" s="61"/>
      <c r="S50" s="63"/>
      <c r="T50" s="62"/>
      <c r="U50" s="63"/>
      <c r="V50" s="62"/>
      <c r="W50" s="63"/>
      <c r="X50" s="62"/>
      <c r="Y50" s="63"/>
      <c r="Z50" s="62"/>
      <c r="AA50" s="63"/>
      <c r="AB50" s="62"/>
      <c r="AC50" s="63"/>
      <c r="AD50" s="62"/>
      <c r="AE50" s="63"/>
      <c r="AF50" s="62"/>
      <c r="AG50" s="63"/>
      <c r="AH50" s="62"/>
      <c r="AI50" s="63"/>
      <c r="AJ50" s="62"/>
      <c r="AK50" s="63"/>
      <c r="AL50" s="62"/>
      <c r="AM50" s="63"/>
      <c r="AN50" s="62"/>
      <c r="AO50" s="63"/>
      <c r="AP50" s="62"/>
      <c r="AQ50" s="63" t="s">
        <v>52</v>
      </c>
      <c r="AR50" s="62"/>
      <c r="AS50" s="63"/>
      <c r="AT50" s="62"/>
      <c r="AU50" s="63"/>
      <c r="AV50" s="62"/>
      <c r="AW50" s="61"/>
      <c r="AX50" s="64"/>
      <c r="AY50" s="60"/>
      <c r="AZ50" s="61"/>
      <c r="BA50" s="61"/>
      <c r="BB50" s="61"/>
      <c r="BC50" s="61"/>
      <c r="BD50" s="61"/>
      <c r="BE50" s="61"/>
      <c r="BF50" s="61"/>
      <c r="BG50" s="64"/>
    </row>
    <row r="51" spans="1:59">
      <c r="A51" s="69"/>
      <c r="B51" s="70"/>
      <c r="C51" s="70"/>
      <c r="D51" s="70"/>
      <c r="E51" s="70"/>
      <c r="F51" s="70"/>
      <c r="G51" s="70"/>
      <c r="H51" s="70"/>
      <c r="I51" s="70"/>
      <c r="J51" s="70"/>
      <c r="K51" s="70"/>
      <c r="L51" s="70"/>
      <c r="M51" s="70"/>
      <c r="N51" s="67"/>
      <c r="O51" s="60"/>
      <c r="P51" s="61"/>
      <c r="Q51" s="61"/>
      <c r="R51" s="61"/>
      <c r="S51" s="63"/>
      <c r="T51" s="62"/>
      <c r="U51" s="63"/>
      <c r="V51" s="62"/>
      <c r="W51" s="63"/>
      <c r="X51" s="62"/>
      <c r="Y51" s="63"/>
      <c r="Z51" s="62"/>
      <c r="AA51" s="63"/>
      <c r="AB51" s="62"/>
      <c r="AC51" s="63"/>
      <c r="AD51" s="62"/>
      <c r="AE51" s="63"/>
      <c r="AF51" s="62"/>
      <c r="AG51" s="63"/>
      <c r="AH51" s="62"/>
      <c r="AI51" s="63"/>
      <c r="AJ51" s="62"/>
      <c r="AK51" s="63"/>
      <c r="AL51" s="62"/>
      <c r="AM51" s="63"/>
      <c r="AN51" s="62"/>
      <c r="AO51" s="63"/>
      <c r="AP51" s="62"/>
      <c r="AQ51" s="63"/>
      <c r="AR51" s="62"/>
      <c r="AS51" s="63"/>
      <c r="AT51" s="62"/>
      <c r="AU51" s="63"/>
      <c r="AV51" s="62"/>
      <c r="AW51" s="61"/>
      <c r="AX51" s="64"/>
      <c r="AY51" s="60"/>
      <c r="AZ51" s="61"/>
      <c r="BA51" s="61"/>
      <c r="BB51" s="61"/>
      <c r="BC51" s="61"/>
      <c r="BD51" s="61"/>
      <c r="BE51" s="61"/>
      <c r="BF51" s="61"/>
      <c r="BG51" s="64"/>
    </row>
    <row r="52" spans="1:59">
      <c r="A52" s="69"/>
      <c r="B52" s="70"/>
      <c r="C52" s="70"/>
      <c r="D52" s="70"/>
      <c r="E52" s="70"/>
      <c r="F52" s="70"/>
      <c r="G52" s="70"/>
      <c r="H52" s="70"/>
      <c r="I52" s="70"/>
      <c r="J52" s="70"/>
      <c r="K52" s="70"/>
      <c r="L52" s="70"/>
      <c r="M52" s="70"/>
      <c r="N52" s="67"/>
      <c r="O52" s="60"/>
      <c r="P52" s="61"/>
      <c r="Q52" s="61"/>
      <c r="R52" s="61"/>
      <c r="S52" s="63"/>
      <c r="T52" s="62"/>
      <c r="U52" s="63"/>
      <c r="V52" s="62"/>
      <c r="W52" s="63"/>
      <c r="X52" s="62"/>
      <c r="Y52" s="63"/>
      <c r="Z52" s="62"/>
      <c r="AA52" s="63"/>
      <c r="AB52" s="62"/>
      <c r="AC52" s="63"/>
      <c r="AD52" s="62"/>
      <c r="AE52" s="63"/>
      <c r="AF52" s="62"/>
      <c r="AG52" s="63"/>
      <c r="AH52" s="62"/>
      <c r="AI52" s="63"/>
      <c r="AJ52" s="62"/>
      <c r="AK52" s="63"/>
      <c r="AL52" s="62"/>
      <c r="AM52" s="63"/>
      <c r="AN52" s="62"/>
      <c r="AO52" s="63"/>
      <c r="AP52" s="62"/>
      <c r="AQ52" s="63"/>
      <c r="AR52" s="62"/>
      <c r="AS52" s="63"/>
      <c r="AT52" s="62"/>
      <c r="AU52" s="63"/>
      <c r="AV52" s="62"/>
      <c r="AW52" s="61"/>
      <c r="AX52" s="64"/>
      <c r="AY52" s="60"/>
      <c r="AZ52" s="61"/>
      <c r="BA52" s="61"/>
      <c r="BB52" s="61"/>
      <c r="BC52" s="61"/>
      <c r="BD52" s="61"/>
      <c r="BE52" s="61"/>
      <c r="BF52" s="61"/>
      <c r="BG52" s="64"/>
    </row>
    <row r="53" spans="1:59">
      <c r="A53" s="69"/>
      <c r="B53" s="70"/>
      <c r="C53" s="70"/>
      <c r="D53" s="70"/>
      <c r="E53" s="70"/>
      <c r="F53" s="70"/>
      <c r="G53" s="70"/>
      <c r="H53" s="70"/>
      <c r="I53" s="70"/>
      <c r="J53" s="70"/>
      <c r="K53" s="70"/>
      <c r="L53" s="70"/>
      <c r="M53" s="70"/>
      <c r="N53" s="67"/>
      <c r="O53" s="60"/>
      <c r="P53" s="61"/>
      <c r="Q53" s="61"/>
      <c r="R53" s="61"/>
      <c r="S53" s="63"/>
      <c r="T53" s="62"/>
      <c r="U53" s="63"/>
      <c r="V53" s="62"/>
      <c r="W53" s="63"/>
      <c r="X53" s="62"/>
      <c r="Y53" s="63"/>
      <c r="Z53" s="62"/>
      <c r="AA53" s="63"/>
      <c r="AB53" s="62"/>
      <c r="AC53" s="63"/>
      <c r="AD53" s="62"/>
      <c r="AE53" s="63"/>
      <c r="AF53" s="62"/>
      <c r="AG53" s="63"/>
      <c r="AH53" s="62"/>
      <c r="AI53" s="63"/>
      <c r="AJ53" s="62"/>
      <c r="AK53" s="63"/>
      <c r="AL53" s="62"/>
      <c r="AM53" s="63"/>
      <c r="AN53" s="62"/>
      <c r="AO53" s="63"/>
      <c r="AP53" s="62"/>
      <c r="AQ53" s="63"/>
      <c r="AR53" s="62"/>
      <c r="AS53" s="63"/>
      <c r="AT53" s="62"/>
      <c r="AU53" s="63"/>
      <c r="AV53" s="62"/>
      <c r="AW53" s="61"/>
      <c r="AX53" s="64"/>
      <c r="AY53" s="60"/>
      <c r="AZ53" s="61"/>
      <c r="BA53" s="61"/>
      <c r="BB53" s="61"/>
      <c r="BC53" s="61"/>
      <c r="BD53" s="61"/>
      <c r="BE53" s="61"/>
      <c r="BF53" s="61"/>
      <c r="BG53" s="64"/>
    </row>
    <row r="54" spans="1:59">
      <c r="A54" s="71"/>
      <c r="B54" s="72"/>
      <c r="C54" s="72"/>
      <c r="D54" s="72"/>
      <c r="E54" s="72"/>
      <c r="F54" s="72"/>
      <c r="G54" s="72"/>
      <c r="H54" s="72"/>
      <c r="I54" s="72"/>
      <c r="J54" s="72"/>
      <c r="K54" s="72"/>
      <c r="L54" s="72"/>
      <c r="M54" s="72"/>
      <c r="N54" s="73"/>
      <c r="O54" s="53"/>
      <c r="P54" s="54"/>
      <c r="Q54" s="54"/>
      <c r="R54" s="54"/>
      <c r="S54" s="59"/>
      <c r="T54" s="58"/>
      <c r="U54" s="59"/>
      <c r="V54" s="58"/>
      <c r="W54" s="59"/>
      <c r="X54" s="58"/>
      <c r="Y54" s="59"/>
      <c r="Z54" s="58"/>
      <c r="AA54" s="59"/>
      <c r="AB54" s="58"/>
      <c r="AC54" s="59"/>
      <c r="AD54" s="58"/>
      <c r="AE54" s="59"/>
      <c r="AF54" s="58"/>
      <c r="AG54" s="59"/>
      <c r="AH54" s="58"/>
      <c r="AI54" s="59"/>
      <c r="AJ54" s="58"/>
      <c r="AK54" s="59"/>
      <c r="AL54" s="58"/>
      <c r="AM54" s="59"/>
      <c r="AN54" s="58"/>
      <c r="AO54" s="59"/>
      <c r="AP54" s="58"/>
      <c r="AQ54" s="59"/>
      <c r="AR54" s="58"/>
      <c r="AS54" s="59"/>
      <c r="AT54" s="58"/>
      <c r="AU54" s="59"/>
      <c r="AV54" s="58"/>
      <c r="AW54" s="54"/>
      <c r="AX54" s="55"/>
      <c r="AY54" s="53"/>
      <c r="AZ54" s="54"/>
      <c r="BA54" s="54"/>
      <c r="BB54" s="54"/>
      <c r="BC54" s="54"/>
      <c r="BD54" s="54"/>
      <c r="BE54" s="54"/>
      <c r="BF54" s="54"/>
      <c r="BG54" s="55"/>
    </row>
    <row r="55" spans="1:59">
      <c r="A55" s="50"/>
      <c r="B55" s="51"/>
      <c r="C55" s="51"/>
      <c r="D55" s="51"/>
      <c r="E55" s="51"/>
      <c r="F55" s="51"/>
      <c r="G55" s="51"/>
      <c r="H55" s="51"/>
      <c r="I55" s="51"/>
      <c r="J55" s="51"/>
      <c r="K55" s="51"/>
      <c r="L55" s="51"/>
      <c r="M55" s="51"/>
      <c r="N55" s="51"/>
      <c r="O55" s="51"/>
      <c r="P55" s="51"/>
      <c r="Q55" s="51"/>
      <c r="R55" s="51"/>
      <c r="S55" s="51"/>
      <c r="T55" s="51"/>
      <c r="U55" s="51"/>
      <c r="V55" s="51"/>
      <c r="W55" s="51"/>
      <c r="X55" s="51"/>
      <c r="Y55" s="51"/>
      <c r="Z55" s="51"/>
      <c r="AA55" s="51"/>
      <c r="AB55" s="51"/>
      <c r="AC55" s="51"/>
      <c r="AD55" s="51"/>
      <c r="AE55" s="51"/>
      <c r="AF55" s="51"/>
      <c r="AG55" s="51"/>
      <c r="AH55" s="51"/>
      <c r="AI55" s="51"/>
      <c r="AJ55" s="51"/>
      <c r="AK55" s="51"/>
      <c r="AL55" s="51"/>
      <c r="AM55" s="51"/>
      <c r="AN55" s="51"/>
      <c r="AO55" s="51"/>
      <c r="AP55" s="51"/>
      <c r="AQ55" s="51"/>
      <c r="AR55" s="51"/>
      <c r="AS55" s="51"/>
      <c r="AT55" s="51"/>
      <c r="AU55" s="51"/>
      <c r="AV55" s="51"/>
      <c r="AW55" s="51"/>
      <c r="AX55" s="51"/>
      <c r="AY55" s="51"/>
      <c r="AZ55" s="51"/>
      <c r="BA55" s="51"/>
      <c r="BB55" s="51"/>
      <c r="BC55" s="51"/>
      <c r="BD55" s="51"/>
      <c r="BE55" s="51"/>
      <c r="BF55" s="51"/>
      <c r="BG55" s="52"/>
    </row>
    <row r="56" spans="1:59">
      <c r="A56" s="60"/>
      <c r="B56" s="61"/>
      <c r="C56" s="61"/>
      <c r="D56" s="61"/>
      <c r="E56" s="61"/>
      <c r="F56" s="61"/>
      <c r="G56" s="61"/>
      <c r="H56" s="61"/>
      <c r="I56" s="61"/>
      <c r="J56" s="61"/>
      <c r="K56" s="61"/>
      <c r="L56" s="61"/>
      <c r="M56" s="61"/>
      <c r="N56" s="61"/>
      <c r="O56" s="61"/>
      <c r="P56" s="61"/>
      <c r="Q56" s="61"/>
      <c r="R56" s="61"/>
      <c r="S56" s="61"/>
      <c r="T56" s="61"/>
      <c r="U56" s="61"/>
      <c r="V56" s="61"/>
      <c r="W56" s="61"/>
      <c r="X56" s="61"/>
      <c r="Y56" s="61"/>
      <c r="Z56" s="61"/>
      <c r="AA56" s="61"/>
      <c r="AB56" s="61"/>
      <c r="AC56" s="61"/>
      <c r="AD56" s="61"/>
      <c r="AE56" s="61"/>
      <c r="AF56" s="61"/>
      <c r="AG56" s="61"/>
      <c r="AH56" s="61"/>
      <c r="AI56" s="61"/>
      <c r="AJ56" s="61"/>
      <c r="AK56" s="61"/>
      <c r="AL56" s="61"/>
      <c r="AM56" s="61"/>
      <c r="AN56" s="61"/>
      <c r="AO56" s="61"/>
      <c r="AP56" s="61"/>
      <c r="AQ56" s="61"/>
      <c r="AR56" s="61"/>
      <c r="AS56" s="61"/>
      <c r="AT56" s="61"/>
      <c r="AU56" s="61"/>
      <c r="AV56" s="61"/>
      <c r="AW56" s="61"/>
      <c r="AX56" s="61"/>
      <c r="AY56" s="61"/>
      <c r="AZ56" s="61"/>
      <c r="BA56" s="61"/>
      <c r="BB56" s="61"/>
      <c r="BC56" s="61"/>
      <c r="BD56" s="61"/>
      <c r="BE56" s="61"/>
      <c r="BF56" s="61"/>
      <c r="BG56" s="64"/>
    </row>
    <row r="57" spans="1:59">
      <c r="A57" s="53"/>
      <c r="B57" s="54"/>
      <c r="C57" s="54"/>
      <c r="D57" s="54"/>
      <c r="E57" s="54"/>
      <c r="F57" s="54"/>
      <c r="G57" s="54"/>
      <c r="H57" s="54"/>
      <c r="I57" s="54"/>
      <c r="J57" s="54"/>
      <c r="K57" s="54"/>
      <c r="L57" s="54"/>
      <c r="M57" s="54"/>
      <c r="N57" s="54"/>
      <c r="O57" s="54"/>
      <c r="P57" s="54"/>
      <c r="Q57" s="54"/>
      <c r="R57" s="54"/>
      <c r="S57" s="54"/>
      <c r="T57" s="54"/>
      <c r="U57" s="54"/>
      <c r="V57" s="54"/>
      <c r="W57" s="54"/>
      <c r="X57" s="54"/>
      <c r="Y57" s="54"/>
      <c r="Z57" s="54"/>
      <c r="AA57" s="54"/>
      <c r="AB57" s="54"/>
      <c r="AC57" s="54"/>
      <c r="AD57" s="54"/>
      <c r="AE57" s="54"/>
      <c r="AF57" s="54"/>
      <c r="AG57" s="54"/>
      <c r="AH57" s="54"/>
      <c r="AI57" s="54"/>
      <c r="AJ57" s="54"/>
      <c r="AK57" s="54"/>
      <c r="AL57" s="54"/>
      <c r="AM57" s="54"/>
      <c r="AN57" s="54"/>
      <c r="AO57" s="54"/>
      <c r="AP57" s="54"/>
      <c r="AQ57" s="54"/>
      <c r="AR57" s="54"/>
      <c r="AS57" s="54"/>
      <c r="AT57" s="54"/>
      <c r="AU57" s="54"/>
      <c r="AV57" s="54"/>
      <c r="AW57" s="54"/>
      <c r="AX57" s="54"/>
      <c r="AY57" s="54"/>
      <c r="AZ57" s="54"/>
      <c r="BA57" s="54"/>
      <c r="BB57" s="54"/>
      <c r="BC57" s="54"/>
      <c r="BD57" s="54"/>
      <c r="BE57" s="54"/>
      <c r="BF57" s="54"/>
      <c r="BG57" s="55"/>
    </row>
  </sheetData>
  <mergeCells count="22">
    <mergeCell ref="A11:N14"/>
    <mergeCell ref="S10:T10"/>
    <mergeCell ref="U10:V10"/>
    <mergeCell ref="W10:X10"/>
    <mergeCell ref="AE10:AF10"/>
    <mergeCell ref="A1:N3"/>
    <mergeCell ref="A4:AQ7"/>
    <mergeCell ref="AG10:AH10"/>
    <mergeCell ref="AI10:AJ10"/>
    <mergeCell ref="AQ10:AR10"/>
    <mergeCell ref="A9:N10"/>
    <mergeCell ref="AO10:AP10"/>
    <mergeCell ref="W9:AD9"/>
    <mergeCell ref="AM10:AN10"/>
    <mergeCell ref="AY9:BG10"/>
    <mergeCell ref="AU10:AV10"/>
    <mergeCell ref="Y10:Z10"/>
    <mergeCell ref="AA10:AB10"/>
    <mergeCell ref="AC10:AD10"/>
    <mergeCell ref="AK10:AL10"/>
    <mergeCell ref="AS10:AT10"/>
    <mergeCell ref="AW10:AX10"/>
  </mergeCells>
  <phoneticPr fontId="3"/>
  <printOptions horizontalCentered="1"/>
  <pageMargins left="0.39370078740157483" right="0.39370078740157483" top="0.39370078740157483" bottom="0.35433070866141736" header="0.31496062992125984" footer="0.11811023622047245"/>
  <pageSetup paperSize="9" scale="78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FW15"/>
  <sheetViews>
    <sheetView view="pageBreakPreview" zoomScale="115" zoomScaleNormal="100" zoomScaleSheetLayoutView="115" workbookViewId="0">
      <pane xSplit="7" ySplit="7" topLeftCell="H8" activePane="bottomRight" state="frozen"/>
      <selection activeCell="A3" sqref="A3:G4"/>
      <selection pane="topRight" activeCell="A3" sqref="A3:G4"/>
      <selection pane="bottomLeft" activeCell="A3" sqref="A3:G4"/>
      <selection pane="bottomRight" sqref="A1:AI1"/>
    </sheetView>
  </sheetViews>
  <sheetFormatPr defaultColWidth="9" defaultRowHeight="12.75" customHeight="1"/>
  <cols>
    <col min="1" max="1" width="10.21875" style="1" bestFit="1" customWidth="1"/>
    <col min="2" max="5" width="4.109375" style="1" customWidth="1"/>
    <col min="6" max="7" width="4.109375" style="4" customWidth="1"/>
    <col min="8" max="8" width="6.44140625" style="1" customWidth="1"/>
    <col min="9" max="21" width="4.109375" style="1" customWidth="1"/>
    <col min="22" max="29" width="5.109375" style="1" customWidth="1"/>
    <col min="30" max="35" width="4.109375" style="1" customWidth="1"/>
    <col min="36" max="36" width="73.33203125" style="1" customWidth="1"/>
    <col min="37" max="39" width="4.109375" style="5" customWidth="1"/>
    <col min="40" max="43" width="4" style="1" customWidth="1"/>
    <col min="44" max="16384" width="9" style="1"/>
  </cols>
  <sheetData>
    <row r="1" spans="1:179" ht="12.75" customHeight="1">
      <c r="A1" s="220" t="s">
        <v>18</v>
      </c>
      <c r="B1" s="220"/>
      <c r="C1" s="220"/>
      <c r="D1" s="220"/>
      <c r="E1" s="220"/>
      <c r="F1" s="220"/>
      <c r="G1" s="220"/>
      <c r="H1" s="220"/>
      <c r="I1" s="220"/>
      <c r="J1" s="220"/>
      <c r="K1" s="220"/>
      <c r="L1" s="220"/>
      <c r="M1" s="220"/>
      <c r="N1" s="220"/>
      <c r="O1" s="220"/>
      <c r="P1" s="220"/>
      <c r="Q1" s="220"/>
      <c r="R1" s="220"/>
      <c r="S1" s="220"/>
      <c r="T1" s="220"/>
      <c r="U1" s="220"/>
      <c r="V1" s="220"/>
      <c r="W1" s="220"/>
      <c r="X1" s="220"/>
      <c r="Y1" s="220"/>
      <c r="Z1" s="220"/>
      <c r="AA1" s="220"/>
      <c r="AB1" s="220"/>
      <c r="AC1" s="220"/>
      <c r="AD1" s="220"/>
      <c r="AE1" s="220"/>
      <c r="AF1" s="220"/>
      <c r="AG1" s="220"/>
      <c r="AH1" s="220"/>
      <c r="AI1" s="220"/>
      <c r="AK1" s="1"/>
      <c r="AL1" s="1"/>
      <c r="AM1" s="1"/>
    </row>
    <row r="2" spans="1:179" ht="13.5" customHeight="1">
      <c r="A2" s="221" t="s">
        <v>0</v>
      </c>
      <c r="B2" s="222"/>
      <c r="C2" s="222"/>
      <c r="D2" s="222"/>
      <c r="E2" s="222"/>
      <c r="F2" s="222"/>
      <c r="G2" s="223"/>
      <c r="H2" s="221" t="s">
        <v>1</v>
      </c>
      <c r="I2" s="222"/>
      <c r="J2" s="222"/>
      <c r="K2" s="222"/>
      <c r="L2" s="222"/>
      <c r="M2" s="222"/>
      <c r="N2" s="223"/>
      <c r="O2" s="24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221" t="s">
        <v>24</v>
      </c>
      <c r="AE2" s="222"/>
      <c r="AF2" s="223"/>
      <c r="AG2" s="222" t="s">
        <v>25</v>
      </c>
      <c r="AH2" s="222"/>
      <c r="AI2" s="223"/>
      <c r="AK2" s="1"/>
      <c r="AL2" s="1"/>
      <c r="AM2" s="1"/>
    </row>
    <row r="3" spans="1:179" ht="13.5" customHeight="1">
      <c r="A3" s="230" t="s">
        <v>91</v>
      </c>
      <c r="B3" s="231"/>
      <c r="C3" s="231"/>
      <c r="D3" s="231"/>
      <c r="E3" s="231"/>
      <c r="F3" s="231"/>
      <c r="G3" s="232"/>
      <c r="H3" s="230" t="str">
        <f ca="1">LEFT(RIGHT(変更履歴!B1,LEN(変更履歴!B1)-8),LEN(RIGHT(変更履歴!B1,LEN(変更履歴!B1)-8))-10)</f>
        <v>帳票_処理状況照会</v>
      </c>
      <c r="I3" s="231"/>
      <c r="J3" s="231"/>
      <c r="K3" s="231"/>
      <c r="L3" s="231"/>
      <c r="M3" s="231"/>
      <c r="N3" s="232"/>
      <c r="O3" s="18"/>
      <c r="P3" s="19"/>
      <c r="Q3" s="19"/>
      <c r="R3" s="19"/>
      <c r="S3" s="19"/>
      <c r="T3" s="19"/>
      <c r="U3" s="19"/>
      <c r="V3" s="19"/>
      <c r="W3" s="19"/>
      <c r="X3" s="19"/>
      <c r="Y3" s="19"/>
      <c r="Z3" s="19"/>
      <c r="AA3" s="19"/>
      <c r="AB3" s="19"/>
      <c r="AC3" s="19"/>
      <c r="AD3" s="204">
        <v>44706</v>
      </c>
      <c r="AE3" s="205"/>
      <c r="AF3" s="206"/>
      <c r="AG3" s="198" t="s">
        <v>89</v>
      </c>
      <c r="AH3" s="199"/>
      <c r="AI3" s="200"/>
      <c r="AK3" s="1"/>
      <c r="AL3" s="1"/>
      <c r="AM3" s="1"/>
    </row>
    <row r="4" spans="1:179" ht="12">
      <c r="A4" s="233"/>
      <c r="B4" s="234"/>
      <c r="C4" s="234"/>
      <c r="D4" s="234"/>
      <c r="E4" s="234"/>
      <c r="F4" s="234"/>
      <c r="G4" s="235"/>
      <c r="H4" s="233"/>
      <c r="I4" s="234"/>
      <c r="J4" s="234"/>
      <c r="K4" s="234"/>
      <c r="L4" s="234"/>
      <c r="M4" s="234"/>
      <c r="N4" s="235"/>
      <c r="O4" s="21"/>
      <c r="P4" s="22"/>
      <c r="Q4" s="22"/>
      <c r="R4" s="22"/>
      <c r="S4" s="22"/>
      <c r="T4" s="22"/>
      <c r="U4" s="22"/>
      <c r="V4" s="22"/>
      <c r="W4" s="22"/>
      <c r="X4" s="22"/>
      <c r="Y4" s="22"/>
      <c r="Z4" s="22"/>
      <c r="AA4" s="22"/>
      <c r="AB4" s="22"/>
      <c r="AC4" s="22"/>
      <c r="AD4" s="207"/>
      <c r="AE4" s="208"/>
      <c r="AF4" s="209"/>
      <c r="AG4" s="201"/>
      <c r="AH4" s="202"/>
      <c r="AI4" s="203"/>
      <c r="AK4" s="1"/>
      <c r="AL4" s="1"/>
      <c r="AM4" s="1"/>
    </row>
    <row r="5" spans="1:179" s="3" customFormat="1" ht="12.75" customHeight="1">
      <c r="A5" s="87" t="s">
        <v>20</v>
      </c>
      <c r="B5" s="88" t="s">
        <v>5</v>
      </c>
      <c r="C5" s="88"/>
      <c r="D5" s="88"/>
      <c r="E5" s="88"/>
      <c r="F5" s="88"/>
      <c r="G5" s="89"/>
      <c r="H5" s="87" t="s">
        <v>27</v>
      </c>
      <c r="I5" s="88"/>
      <c r="J5" s="88"/>
      <c r="K5" s="88"/>
      <c r="L5" s="88"/>
      <c r="M5" s="88"/>
      <c r="N5" s="88"/>
      <c r="O5" s="88"/>
      <c r="P5" s="88"/>
      <c r="Q5" s="88"/>
      <c r="R5" s="88"/>
      <c r="S5" s="88"/>
      <c r="T5" s="88"/>
      <c r="U5" s="89"/>
      <c r="V5" s="210" t="s">
        <v>78</v>
      </c>
      <c r="W5" s="219"/>
      <c r="X5" s="219"/>
      <c r="Y5" s="211"/>
      <c r="Z5" s="224" t="s">
        <v>30</v>
      </c>
      <c r="AA5" s="225"/>
      <c r="AB5" s="225"/>
      <c r="AC5" s="226"/>
      <c r="AD5" s="227" t="s">
        <v>29</v>
      </c>
      <c r="AE5" s="228"/>
      <c r="AF5" s="228"/>
      <c r="AG5" s="228"/>
      <c r="AH5" s="228"/>
      <c r="AI5" s="229"/>
      <c r="AJ5" s="2"/>
      <c r="AK5" s="7"/>
      <c r="AL5" s="7"/>
      <c r="AM5" s="7"/>
      <c r="AN5" s="7"/>
      <c r="AO5" s="7"/>
      <c r="AP5" s="7"/>
      <c r="AQ5" s="7"/>
      <c r="AR5" s="7"/>
      <c r="AS5" s="7"/>
      <c r="AT5" s="7"/>
      <c r="AU5" s="7"/>
      <c r="AV5" s="7"/>
      <c r="AW5" s="7"/>
      <c r="AX5" s="7"/>
      <c r="AY5" s="7"/>
      <c r="AZ5" s="7"/>
      <c r="BA5" s="7"/>
      <c r="BB5" s="7"/>
      <c r="BC5" s="7"/>
      <c r="BD5" s="7"/>
      <c r="BE5" s="7"/>
      <c r="BF5" s="7"/>
      <c r="BG5" s="7"/>
      <c r="BH5" s="7"/>
      <c r="BI5" s="7"/>
      <c r="BJ5" s="7"/>
      <c r="BK5" s="7"/>
      <c r="BL5" s="7"/>
      <c r="BM5" s="7"/>
      <c r="BN5" s="7"/>
      <c r="BO5" s="7"/>
      <c r="BP5" s="7"/>
      <c r="BQ5" s="7"/>
      <c r="BR5" s="7"/>
      <c r="BS5" s="7"/>
      <c r="BT5" s="7"/>
      <c r="BU5" s="7"/>
      <c r="BV5" s="7"/>
      <c r="BW5" s="7"/>
      <c r="BX5" s="7"/>
      <c r="BY5" s="7"/>
      <c r="BZ5" s="7"/>
      <c r="CA5" s="7"/>
      <c r="CB5" s="7"/>
      <c r="CC5" s="7"/>
      <c r="CD5" s="7"/>
      <c r="CE5" s="7"/>
      <c r="CF5" s="7"/>
      <c r="CG5" s="7"/>
      <c r="CH5" s="7"/>
      <c r="CI5" s="7"/>
      <c r="CJ5" s="7"/>
      <c r="CK5" s="7"/>
      <c r="CL5" s="7"/>
      <c r="CM5" s="7"/>
      <c r="CN5" s="7"/>
      <c r="CO5" s="7"/>
      <c r="CP5" s="7"/>
      <c r="CQ5" s="7"/>
      <c r="CR5" s="7"/>
      <c r="CS5" s="7"/>
      <c r="CT5" s="7"/>
      <c r="CU5" s="7"/>
      <c r="CV5" s="7"/>
      <c r="CW5" s="7"/>
      <c r="CX5" s="7"/>
      <c r="CY5" s="7"/>
      <c r="CZ5" s="7"/>
      <c r="DA5" s="7"/>
      <c r="DB5" s="7"/>
      <c r="DC5" s="7"/>
      <c r="DD5" s="7"/>
      <c r="DE5" s="7"/>
      <c r="DF5" s="7"/>
      <c r="DG5" s="7"/>
      <c r="DH5" s="7"/>
      <c r="DI5" s="7"/>
      <c r="DJ5" s="7"/>
      <c r="DK5" s="7"/>
      <c r="DL5" s="7"/>
      <c r="DM5" s="7"/>
      <c r="DN5" s="7"/>
      <c r="DO5" s="7"/>
      <c r="DP5" s="7"/>
      <c r="DQ5" s="7"/>
      <c r="DR5" s="7"/>
      <c r="DS5" s="7"/>
      <c r="DT5" s="7"/>
      <c r="DU5" s="7"/>
      <c r="DV5" s="7"/>
      <c r="DW5" s="7"/>
      <c r="DX5" s="7"/>
      <c r="DY5" s="7"/>
      <c r="DZ5" s="7"/>
      <c r="EA5" s="7"/>
      <c r="EB5" s="7"/>
      <c r="EC5" s="7"/>
      <c r="ED5" s="7"/>
      <c r="EE5" s="7"/>
      <c r="EF5" s="7"/>
      <c r="EG5" s="7"/>
      <c r="EH5" s="7"/>
      <c r="EI5" s="7"/>
      <c r="EJ5" s="7"/>
      <c r="EK5" s="7"/>
      <c r="EL5" s="7"/>
      <c r="EM5" s="7"/>
      <c r="EN5" s="7"/>
      <c r="EO5" s="7"/>
      <c r="EP5" s="7"/>
      <c r="EQ5" s="7"/>
      <c r="ER5" s="7"/>
      <c r="ES5" s="7"/>
      <c r="ET5" s="7"/>
      <c r="EU5" s="7"/>
      <c r="EV5" s="7"/>
      <c r="EW5" s="7"/>
      <c r="EX5" s="7"/>
      <c r="EY5" s="7"/>
      <c r="EZ5" s="7"/>
      <c r="FA5" s="7"/>
      <c r="FB5" s="7"/>
      <c r="FC5" s="7"/>
      <c r="FD5" s="7"/>
      <c r="FE5" s="7"/>
      <c r="FF5" s="7"/>
      <c r="FG5" s="7"/>
      <c r="FH5" s="7"/>
      <c r="FI5" s="7"/>
      <c r="FJ5" s="7"/>
      <c r="FK5" s="7"/>
      <c r="FL5" s="7"/>
      <c r="FM5" s="7"/>
      <c r="FN5" s="7"/>
      <c r="FO5" s="7"/>
      <c r="FP5" s="7"/>
      <c r="FQ5" s="7"/>
      <c r="FR5" s="7"/>
      <c r="FS5" s="7"/>
      <c r="FT5" s="7"/>
      <c r="FU5" s="7"/>
      <c r="FV5" s="7"/>
      <c r="FW5" s="7"/>
    </row>
    <row r="6" spans="1:179" s="3" customFormat="1" ht="12.75" customHeight="1">
      <c r="A6" s="144"/>
      <c r="B6" s="142"/>
      <c r="C6" s="142"/>
      <c r="D6" s="142"/>
      <c r="E6" s="142"/>
      <c r="F6" s="142"/>
      <c r="G6" s="143"/>
      <c r="H6" s="144"/>
      <c r="I6" s="142"/>
      <c r="J6" s="142"/>
      <c r="K6" s="142"/>
      <c r="L6" s="142"/>
      <c r="M6" s="142"/>
      <c r="N6" s="142"/>
      <c r="O6" s="142"/>
      <c r="P6" s="142"/>
      <c r="Q6" s="142"/>
      <c r="R6" s="142"/>
      <c r="S6" s="142"/>
      <c r="T6" s="142"/>
      <c r="U6" s="143"/>
      <c r="V6" s="210" t="s">
        <v>76</v>
      </c>
      <c r="W6" s="211"/>
      <c r="X6" s="219" t="s">
        <v>77</v>
      </c>
      <c r="Y6" s="211"/>
      <c r="Z6" s="210" t="s">
        <v>76</v>
      </c>
      <c r="AA6" s="211"/>
      <c r="AB6" s="219" t="s">
        <v>77</v>
      </c>
      <c r="AC6" s="211"/>
      <c r="AD6" s="134"/>
      <c r="AE6" s="135"/>
      <c r="AF6" s="135"/>
      <c r="AG6" s="135"/>
      <c r="AH6" s="135"/>
      <c r="AI6" s="136"/>
      <c r="AJ6" s="2"/>
      <c r="AK6" s="7"/>
      <c r="AL6" s="7"/>
      <c r="AM6" s="7"/>
      <c r="AN6" s="7"/>
      <c r="AO6" s="7"/>
      <c r="AP6" s="7"/>
      <c r="AQ6" s="7"/>
      <c r="AR6" s="7"/>
      <c r="AS6" s="7"/>
      <c r="AT6" s="7"/>
      <c r="AU6" s="7"/>
      <c r="AV6" s="7"/>
      <c r="AW6" s="7"/>
      <c r="AX6" s="7"/>
      <c r="AY6" s="7"/>
      <c r="AZ6" s="7"/>
      <c r="BA6" s="7"/>
      <c r="BB6" s="7"/>
      <c r="BC6" s="7"/>
      <c r="BD6" s="7"/>
      <c r="BE6" s="7"/>
      <c r="BF6" s="7"/>
      <c r="BG6" s="7"/>
      <c r="BH6" s="7"/>
      <c r="BI6" s="7"/>
      <c r="BJ6" s="7"/>
      <c r="BK6" s="7"/>
      <c r="BL6" s="7"/>
      <c r="BM6" s="7"/>
      <c r="BN6" s="7"/>
      <c r="BO6" s="7"/>
      <c r="BP6" s="7"/>
      <c r="BQ6" s="7"/>
      <c r="BR6" s="7"/>
      <c r="BS6" s="7"/>
      <c r="BT6" s="7"/>
      <c r="BU6" s="7"/>
      <c r="BV6" s="7"/>
      <c r="BW6" s="7"/>
      <c r="BX6" s="7"/>
      <c r="BY6" s="7"/>
      <c r="BZ6" s="7"/>
      <c r="CA6" s="7"/>
      <c r="CB6" s="7"/>
      <c r="CC6" s="7"/>
      <c r="CD6" s="7"/>
      <c r="CE6" s="7"/>
      <c r="CF6" s="7"/>
      <c r="CG6" s="7"/>
      <c r="CH6" s="7"/>
      <c r="CI6" s="7"/>
      <c r="CJ6" s="7"/>
      <c r="CK6" s="7"/>
      <c r="CL6" s="7"/>
      <c r="CM6" s="7"/>
      <c r="CN6" s="7"/>
      <c r="CO6" s="7"/>
      <c r="CP6" s="7"/>
      <c r="CQ6" s="7"/>
      <c r="CR6" s="7"/>
      <c r="CS6" s="7"/>
      <c r="CT6" s="7"/>
      <c r="CU6" s="7"/>
      <c r="CV6" s="7"/>
      <c r="CW6" s="7"/>
      <c r="CX6" s="7"/>
      <c r="CY6" s="7"/>
      <c r="CZ6" s="7"/>
      <c r="DA6" s="7"/>
      <c r="DB6" s="7"/>
      <c r="DC6" s="7"/>
      <c r="DD6" s="7"/>
      <c r="DE6" s="7"/>
      <c r="DF6" s="7"/>
      <c r="DG6" s="7"/>
      <c r="DH6" s="7"/>
      <c r="DI6" s="7"/>
      <c r="DJ6" s="7"/>
      <c r="DK6" s="7"/>
      <c r="DL6" s="7"/>
      <c r="DM6" s="7"/>
      <c r="DN6" s="7"/>
      <c r="DO6" s="7"/>
      <c r="DP6" s="7"/>
      <c r="DQ6" s="7"/>
      <c r="DR6" s="7"/>
      <c r="DS6" s="7"/>
      <c r="DT6" s="7"/>
      <c r="DU6" s="7"/>
      <c r="DV6" s="7"/>
      <c r="DW6" s="7"/>
      <c r="DX6" s="7"/>
      <c r="DY6" s="7"/>
      <c r="DZ6" s="7"/>
      <c r="EA6" s="7"/>
      <c r="EB6" s="7"/>
      <c r="EC6" s="7"/>
      <c r="ED6" s="7"/>
      <c r="EE6" s="7"/>
      <c r="EF6" s="7"/>
      <c r="EG6" s="7"/>
      <c r="EH6" s="7"/>
      <c r="EI6" s="7"/>
      <c r="EJ6" s="7"/>
      <c r="EK6" s="7"/>
      <c r="EL6" s="7"/>
      <c r="EM6" s="7"/>
      <c r="EN6" s="7"/>
      <c r="EO6" s="7"/>
      <c r="EP6" s="7"/>
      <c r="EQ6" s="7"/>
      <c r="ER6" s="7"/>
      <c r="ES6" s="7"/>
      <c r="ET6" s="7"/>
      <c r="EU6" s="7"/>
      <c r="EV6" s="7"/>
      <c r="EW6" s="7"/>
      <c r="EX6" s="7"/>
      <c r="EY6" s="7"/>
      <c r="EZ6" s="7"/>
      <c r="FA6" s="7"/>
      <c r="FB6" s="7"/>
      <c r="FC6" s="7"/>
      <c r="FD6" s="7"/>
      <c r="FE6" s="7"/>
      <c r="FF6" s="7"/>
      <c r="FG6" s="7"/>
      <c r="FH6" s="7"/>
      <c r="FI6" s="7"/>
      <c r="FJ6" s="7"/>
      <c r="FK6" s="7"/>
      <c r="FL6" s="7"/>
      <c r="FM6" s="7"/>
      <c r="FN6" s="7"/>
      <c r="FO6" s="7"/>
      <c r="FP6" s="7"/>
      <c r="FQ6" s="7"/>
      <c r="FR6" s="7"/>
      <c r="FS6" s="7"/>
      <c r="FT6" s="7"/>
      <c r="FU6" s="7"/>
      <c r="FV6" s="7"/>
      <c r="FW6" s="7"/>
    </row>
    <row r="7" spans="1:179" s="3" customFormat="1" ht="12.75" customHeight="1">
      <c r="A7" s="90"/>
      <c r="B7" s="91"/>
      <c r="C7" s="91"/>
      <c r="D7" s="91"/>
      <c r="E7" s="91"/>
      <c r="F7" s="91"/>
      <c r="G7" s="92"/>
      <c r="H7" s="90"/>
      <c r="I7" s="91"/>
      <c r="J7" s="91"/>
      <c r="K7" s="91"/>
      <c r="L7" s="91"/>
      <c r="M7" s="91"/>
      <c r="N7" s="91"/>
      <c r="O7" s="91"/>
      <c r="P7" s="91"/>
      <c r="Q7" s="91"/>
      <c r="R7" s="91"/>
      <c r="S7" s="91"/>
      <c r="T7" s="91"/>
      <c r="U7" s="92"/>
      <c r="V7" s="130" t="s">
        <v>74</v>
      </c>
      <c r="W7" s="131" t="s">
        <v>75</v>
      </c>
      <c r="X7" s="130" t="s">
        <v>74</v>
      </c>
      <c r="Y7" s="131" t="s">
        <v>75</v>
      </c>
      <c r="Z7" s="130" t="s">
        <v>74</v>
      </c>
      <c r="AA7" s="131" t="s">
        <v>75</v>
      </c>
      <c r="AB7" s="130" t="s">
        <v>74</v>
      </c>
      <c r="AC7" s="131" t="s">
        <v>75</v>
      </c>
      <c r="AD7" s="93"/>
      <c r="AE7" s="94"/>
      <c r="AF7" s="94"/>
      <c r="AG7" s="94"/>
      <c r="AH7" s="94"/>
      <c r="AI7" s="95"/>
      <c r="AJ7" s="2"/>
      <c r="AK7" s="7"/>
      <c r="AL7" s="7"/>
      <c r="AM7" s="7"/>
      <c r="AN7" s="7"/>
      <c r="AO7" s="7"/>
      <c r="AP7" s="7"/>
      <c r="AQ7" s="7"/>
      <c r="AR7" s="7"/>
      <c r="AS7" s="7"/>
      <c r="AT7" s="7"/>
      <c r="AU7" s="7"/>
      <c r="AV7" s="7"/>
      <c r="AW7" s="7"/>
      <c r="AX7" s="7"/>
      <c r="AY7" s="7"/>
      <c r="AZ7" s="7"/>
      <c r="BA7" s="7"/>
      <c r="BB7" s="7"/>
      <c r="BC7" s="7"/>
      <c r="BD7" s="7"/>
      <c r="BE7" s="7"/>
      <c r="BF7" s="7"/>
      <c r="BG7" s="7"/>
      <c r="BH7" s="7"/>
      <c r="BI7" s="7"/>
      <c r="BJ7" s="7"/>
      <c r="BK7" s="7"/>
      <c r="BL7" s="7"/>
      <c r="BM7" s="7"/>
      <c r="BN7" s="7"/>
      <c r="BO7" s="7"/>
      <c r="BP7" s="7"/>
      <c r="BQ7" s="7"/>
      <c r="BR7" s="7"/>
      <c r="BS7" s="7"/>
      <c r="BT7" s="7"/>
      <c r="BU7" s="7"/>
      <c r="BV7" s="7"/>
      <c r="BW7" s="7"/>
      <c r="BX7" s="7"/>
      <c r="BY7" s="7"/>
      <c r="BZ7" s="7"/>
      <c r="CA7" s="7"/>
      <c r="CB7" s="7"/>
      <c r="CC7" s="7"/>
      <c r="CD7" s="7"/>
      <c r="CE7" s="7"/>
      <c r="CF7" s="7"/>
      <c r="CG7" s="7"/>
      <c r="CH7" s="7"/>
      <c r="CI7" s="7"/>
      <c r="CJ7" s="7"/>
      <c r="CK7" s="7"/>
      <c r="CL7" s="7"/>
      <c r="CM7" s="7"/>
      <c r="CN7" s="7"/>
      <c r="CO7" s="7"/>
      <c r="CP7" s="7"/>
      <c r="CQ7" s="7"/>
      <c r="CR7" s="7"/>
      <c r="CS7" s="7"/>
      <c r="CT7" s="7"/>
      <c r="CU7" s="7"/>
      <c r="CV7" s="7"/>
      <c r="CW7" s="7"/>
      <c r="CX7" s="7"/>
      <c r="CY7" s="7"/>
      <c r="CZ7" s="7"/>
      <c r="DA7" s="7"/>
      <c r="DB7" s="7"/>
      <c r="DC7" s="7"/>
      <c r="DD7" s="7"/>
      <c r="DE7" s="7"/>
      <c r="DF7" s="7"/>
      <c r="DG7" s="7"/>
      <c r="DH7" s="7"/>
      <c r="DI7" s="7"/>
      <c r="DJ7" s="7"/>
      <c r="DK7" s="7"/>
      <c r="DL7" s="7"/>
      <c r="DM7" s="7"/>
      <c r="DN7" s="7"/>
      <c r="DO7" s="7"/>
      <c r="DP7" s="7"/>
      <c r="DQ7" s="7"/>
      <c r="DR7" s="7"/>
      <c r="DS7" s="7"/>
      <c r="DT7" s="7"/>
      <c r="DU7" s="7"/>
      <c r="DV7" s="7"/>
      <c r="DW7" s="7"/>
      <c r="DX7" s="7"/>
      <c r="DY7" s="7"/>
      <c r="DZ7" s="7"/>
      <c r="EA7" s="7"/>
      <c r="EB7" s="7"/>
      <c r="EC7" s="7"/>
      <c r="ED7" s="7"/>
      <c r="EE7" s="7"/>
      <c r="EF7" s="7"/>
      <c r="EG7" s="7"/>
      <c r="EH7" s="7"/>
      <c r="EI7" s="7"/>
      <c r="EJ7" s="7"/>
      <c r="EK7" s="7"/>
      <c r="EL7" s="7"/>
      <c r="EM7" s="7"/>
      <c r="EN7" s="7"/>
      <c r="EO7" s="7"/>
      <c r="EP7" s="7"/>
      <c r="EQ7" s="7"/>
      <c r="ER7" s="7"/>
      <c r="ES7" s="7"/>
      <c r="ET7" s="7"/>
      <c r="EU7" s="7"/>
      <c r="EV7" s="7"/>
      <c r="EW7" s="7"/>
      <c r="EX7" s="7"/>
      <c r="EY7" s="7"/>
      <c r="EZ7" s="7"/>
      <c r="FA7" s="7"/>
      <c r="FB7" s="7"/>
      <c r="FC7" s="7"/>
      <c r="FD7" s="7"/>
      <c r="FE7" s="7"/>
      <c r="FF7" s="7"/>
      <c r="FG7" s="7"/>
      <c r="FH7" s="7"/>
      <c r="FI7" s="7"/>
      <c r="FJ7" s="7"/>
      <c r="FK7" s="7"/>
      <c r="FL7" s="7"/>
      <c r="FM7" s="7"/>
      <c r="FN7" s="7"/>
      <c r="FO7" s="7"/>
      <c r="FP7" s="7"/>
      <c r="FQ7" s="7"/>
      <c r="FR7" s="7"/>
      <c r="FS7" s="7"/>
      <c r="FT7" s="7"/>
      <c r="FU7" s="7"/>
      <c r="FV7" s="7"/>
      <c r="FW7" s="7"/>
    </row>
    <row r="8" spans="1:179" s="34" customFormat="1" ht="48.75" customHeight="1">
      <c r="A8" s="75" t="s">
        <v>92</v>
      </c>
      <c r="B8" s="217" t="s">
        <v>93</v>
      </c>
      <c r="C8" s="217"/>
      <c r="D8" s="217"/>
      <c r="E8" s="217"/>
      <c r="F8" s="217"/>
      <c r="G8" s="218"/>
      <c r="H8" s="159"/>
      <c r="I8" s="196" t="s">
        <v>94</v>
      </c>
      <c r="J8" s="196"/>
      <c r="K8" s="196"/>
      <c r="L8" s="196"/>
      <c r="M8" s="196"/>
      <c r="N8" s="196"/>
      <c r="O8" s="196"/>
      <c r="P8" s="196"/>
      <c r="Q8" s="196"/>
      <c r="R8" s="196"/>
      <c r="S8" s="196"/>
      <c r="T8" s="196"/>
      <c r="U8" s="197"/>
      <c r="V8" s="132">
        <v>44706</v>
      </c>
      <c r="W8" s="133">
        <v>44706</v>
      </c>
      <c r="X8" s="132">
        <v>44706</v>
      </c>
      <c r="Y8" s="133">
        <v>44706</v>
      </c>
      <c r="Z8" s="132"/>
      <c r="AA8" s="133"/>
      <c r="AB8" s="132"/>
      <c r="AC8" s="133"/>
      <c r="AD8" s="212" t="s">
        <v>83</v>
      </c>
      <c r="AE8" s="213"/>
      <c r="AF8" s="213"/>
      <c r="AG8" s="213"/>
      <c r="AH8" s="213"/>
      <c r="AI8" s="214"/>
    </row>
    <row r="9" spans="1:179" ht="24.9" customHeight="1">
      <c r="A9" s="28"/>
      <c r="B9" s="215"/>
      <c r="C9" s="215"/>
      <c r="D9" s="215"/>
      <c r="E9" s="215"/>
      <c r="F9" s="215"/>
      <c r="G9" s="216"/>
      <c r="H9" s="157"/>
      <c r="I9" s="196"/>
      <c r="J9" s="196"/>
      <c r="K9" s="196"/>
      <c r="L9" s="196"/>
      <c r="M9" s="196"/>
      <c r="N9" s="196"/>
      <c r="O9" s="196"/>
      <c r="P9" s="196"/>
      <c r="Q9" s="196"/>
      <c r="R9" s="196"/>
      <c r="S9" s="196"/>
      <c r="T9" s="196"/>
      <c r="U9" s="197"/>
      <c r="V9" s="132"/>
      <c r="W9" s="133"/>
      <c r="X9" s="132"/>
      <c r="Y9" s="133"/>
      <c r="Z9" s="132"/>
      <c r="AA9" s="133"/>
      <c r="AB9" s="132"/>
      <c r="AC9" s="133"/>
      <c r="AD9" s="32"/>
      <c r="AE9" s="33"/>
      <c r="AF9" s="33"/>
      <c r="AG9" s="33"/>
      <c r="AH9" s="33"/>
      <c r="AI9" s="158"/>
      <c r="AK9" s="1"/>
      <c r="AL9" s="1"/>
      <c r="AM9" s="1"/>
    </row>
    <row r="10" spans="1:179" ht="58.2" customHeight="1">
      <c r="A10" s="75"/>
      <c r="B10" s="217"/>
      <c r="C10" s="217"/>
      <c r="D10" s="217"/>
      <c r="E10" s="217"/>
      <c r="F10" s="217"/>
      <c r="G10" s="218"/>
      <c r="H10" s="29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7"/>
      <c r="V10" s="132"/>
      <c r="W10" s="133"/>
      <c r="X10" s="132"/>
      <c r="Y10" s="133"/>
      <c r="Z10" s="132"/>
      <c r="AA10" s="133"/>
      <c r="AB10" s="132"/>
      <c r="AC10" s="133"/>
      <c r="AD10" s="212"/>
      <c r="AE10" s="213"/>
      <c r="AF10" s="213"/>
      <c r="AG10" s="213"/>
      <c r="AH10" s="213"/>
      <c r="AI10" s="214"/>
      <c r="AK10" s="1"/>
      <c r="AL10" s="1"/>
      <c r="AM10" s="1"/>
    </row>
    <row r="11" spans="1:179" ht="24.9" customHeight="1">
      <c r="A11" s="28"/>
      <c r="B11" s="215"/>
      <c r="C11" s="215"/>
      <c r="D11" s="215"/>
      <c r="E11" s="215"/>
      <c r="F11" s="215"/>
      <c r="G11" s="216"/>
      <c r="H11" s="157"/>
      <c r="I11" s="196"/>
      <c r="J11" s="196"/>
      <c r="K11" s="196"/>
      <c r="L11" s="196"/>
      <c r="M11" s="196"/>
      <c r="N11" s="196"/>
      <c r="O11" s="196"/>
      <c r="P11" s="196"/>
      <c r="Q11" s="196"/>
      <c r="R11" s="196"/>
      <c r="S11" s="196"/>
      <c r="T11" s="196"/>
      <c r="U11" s="197"/>
      <c r="V11" s="132"/>
      <c r="W11" s="133"/>
      <c r="X11" s="132"/>
      <c r="Y11" s="133"/>
      <c r="Z11" s="132"/>
      <c r="AA11" s="133"/>
      <c r="AB11" s="132"/>
      <c r="AC11" s="133"/>
      <c r="AD11" s="32"/>
      <c r="AE11" s="33"/>
      <c r="AF11" s="33"/>
      <c r="AG11" s="33"/>
      <c r="AH11" s="33"/>
      <c r="AI11" s="158"/>
      <c r="AK11" s="1"/>
      <c r="AL11" s="1"/>
      <c r="AM11" s="1"/>
    </row>
    <row r="12" spans="1:179" ht="49.5" customHeight="1">
      <c r="A12" s="75"/>
      <c r="B12" s="215"/>
      <c r="C12" s="215"/>
      <c r="D12" s="215"/>
      <c r="E12" s="215"/>
      <c r="F12" s="215"/>
      <c r="G12" s="216"/>
      <c r="H12" s="29"/>
      <c r="I12" s="196"/>
      <c r="J12" s="196"/>
      <c r="K12" s="196"/>
      <c r="L12" s="196"/>
      <c r="M12" s="196"/>
      <c r="N12" s="196"/>
      <c r="O12" s="196"/>
      <c r="P12" s="196"/>
      <c r="Q12" s="196"/>
      <c r="R12" s="196"/>
      <c r="S12" s="196"/>
      <c r="T12" s="196"/>
      <c r="U12" s="197"/>
      <c r="V12" s="132"/>
      <c r="W12" s="133"/>
      <c r="X12" s="132"/>
      <c r="Y12" s="133"/>
      <c r="Z12" s="132"/>
      <c r="AA12" s="133"/>
      <c r="AB12" s="132"/>
      <c r="AC12" s="133"/>
      <c r="AD12" s="212"/>
      <c r="AE12" s="213"/>
      <c r="AF12" s="213"/>
      <c r="AG12" s="213"/>
      <c r="AH12" s="213"/>
      <c r="AI12" s="214"/>
      <c r="AK12" s="1"/>
      <c r="AL12" s="1"/>
      <c r="AM12" s="1"/>
    </row>
    <row r="13" spans="1:179" ht="24.9" customHeight="1">
      <c r="A13" s="28"/>
      <c r="B13" s="215"/>
      <c r="C13" s="215"/>
      <c r="D13" s="215"/>
      <c r="E13" s="215"/>
      <c r="F13" s="215"/>
      <c r="G13" s="216"/>
      <c r="H13" s="27"/>
      <c r="I13" s="196"/>
      <c r="J13" s="196"/>
      <c r="K13" s="196"/>
      <c r="L13" s="196"/>
      <c r="M13" s="196"/>
      <c r="N13" s="196"/>
      <c r="O13" s="196"/>
      <c r="P13" s="196"/>
      <c r="Q13" s="196"/>
      <c r="R13" s="196"/>
      <c r="S13" s="196"/>
      <c r="T13" s="196"/>
      <c r="U13" s="197"/>
      <c r="V13" s="132"/>
      <c r="W13" s="133"/>
      <c r="X13" s="132"/>
      <c r="Y13" s="133"/>
      <c r="Z13" s="132"/>
      <c r="AA13" s="133"/>
      <c r="AB13" s="132"/>
      <c r="AC13" s="133"/>
      <c r="AD13" s="32"/>
      <c r="AE13" s="33"/>
      <c r="AF13" s="33"/>
      <c r="AG13" s="33"/>
      <c r="AH13" s="33"/>
      <c r="AI13" s="30"/>
      <c r="AK13" s="1"/>
      <c r="AL13" s="1"/>
      <c r="AM13" s="1"/>
    </row>
    <row r="14" spans="1:179" ht="27.75" customHeight="1">
      <c r="A14" s="75"/>
      <c r="B14" s="196"/>
      <c r="C14" s="215"/>
      <c r="D14" s="215"/>
      <c r="E14" s="215"/>
      <c r="F14" s="215"/>
      <c r="G14" s="216"/>
      <c r="H14" s="29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7"/>
      <c r="V14" s="132"/>
      <c r="W14" s="133"/>
      <c r="X14" s="132"/>
      <c r="Y14" s="133"/>
      <c r="Z14" s="132"/>
      <c r="AA14" s="133"/>
      <c r="AB14" s="132"/>
      <c r="AC14" s="133"/>
      <c r="AD14" s="32"/>
      <c r="AE14" s="33"/>
      <c r="AF14" s="33"/>
      <c r="AG14" s="33"/>
      <c r="AH14" s="33"/>
      <c r="AI14" s="30"/>
      <c r="AK14" s="1"/>
      <c r="AL14" s="1"/>
      <c r="AM14" s="1"/>
    </row>
    <row r="15" spans="1:179" ht="49.5" customHeight="1">
      <c r="A15" s="75"/>
      <c r="B15" s="196"/>
      <c r="C15" s="196"/>
      <c r="D15" s="196"/>
      <c r="E15" s="196"/>
      <c r="F15" s="196"/>
      <c r="G15" s="197"/>
      <c r="H15" s="29"/>
      <c r="I15" s="196"/>
      <c r="J15" s="196"/>
      <c r="K15" s="196"/>
      <c r="L15" s="196"/>
      <c r="M15" s="196"/>
      <c r="N15" s="196"/>
      <c r="O15" s="196"/>
      <c r="P15" s="196"/>
      <c r="Q15" s="196"/>
      <c r="R15" s="196"/>
      <c r="S15" s="196"/>
      <c r="T15" s="196"/>
      <c r="U15" s="197"/>
      <c r="V15" s="132"/>
      <c r="W15" s="133"/>
      <c r="X15" s="132"/>
      <c r="Y15" s="133"/>
      <c r="Z15" s="132"/>
      <c r="AA15" s="133"/>
      <c r="AB15" s="132"/>
      <c r="AC15" s="133"/>
      <c r="AD15" s="32"/>
      <c r="AE15" s="33"/>
      <c r="AF15" s="33"/>
      <c r="AG15" s="33"/>
      <c r="AH15" s="33"/>
      <c r="AI15" s="30"/>
      <c r="AK15" s="1"/>
      <c r="AL15" s="1"/>
      <c r="AM15" s="1"/>
    </row>
  </sheetData>
  <mergeCells count="35">
    <mergeCell ref="B15:G15"/>
    <mergeCell ref="I15:U15"/>
    <mergeCell ref="B13:G13"/>
    <mergeCell ref="I13:U13"/>
    <mergeCell ref="B12:G12"/>
    <mergeCell ref="I12:U12"/>
    <mergeCell ref="B14:G14"/>
    <mergeCell ref="B11:G11"/>
    <mergeCell ref="X6:Y6"/>
    <mergeCell ref="Z6:AA6"/>
    <mergeCell ref="AB6:AC6"/>
    <mergeCell ref="A1:AI1"/>
    <mergeCell ref="A2:G2"/>
    <mergeCell ref="H2:N2"/>
    <mergeCell ref="AD2:AF2"/>
    <mergeCell ref="AG2:AI2"/>
    <mergeCell ref="V5:Y5"/>
    <mergeCell ref="Z5:AC5"/>
    <mergeCell ref="AD5:AI5"/>
    <mergeCell ref="AD8:AI8"/>
    <mergeCell ref="AD10:AI10"/>
    <mergeCell ref="A3:G4"/>
    <mergeCell ref="H3:N4"/>
    <mergeCell ref="B9:G9"/>
    <mergeCell ref="I9:U9"/>
    <mergeCell ref="B10:G10"/>
    <mergeCell ref="I10:U10"/>
    <mergeCell ref="B8:G8"/>
    <mergeCell ref="I8:U8"/>
    <mergeCell ref="I11:U11"/>
    <mergeCell ref="AG3:AI4"/>
    <mergeCell ref="AD3:AF4"/>
    <mergeCell ref="I14:U14"/>
    <mergeCell ref="V6:W6"/>
    <mergeCell ref="AD12:AI12"/>
  </mergeCells>
  <phoneticPr fontId="3"/>
  <printOptions horizontalCentered="1"/>
  <pageMargins left="0.39370078740157483" right="0.39370078740157483" top="0.59055118110236227" bottom="0.39370078740157483" header="0.51181102362204722" footer="0.31496062992125984"/>
  <pageSetup paperSize="9" scale="88" fitToHeight="0" orientation="landscape" r:id="rId1"/>
  <headerFooter alignWithMargins="0">
    <oddFooter>&amp;L&amp;F&amp;C&amp;P&amp;R&amp;A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pageSetUpPr fitToPage="1"/>
  </sheetPr>
  <dimension ref="A1:FW21"/>
  <sheetViews>
    <sheetView zoomScaleNormal="80" zoomScaleSheetLayoutView="100" workbookViewId="0">
      <pane xSplit="7" ySplit="7" topLeftCell="H8" activePane="bottomRight" state="frozen"/>
      <selection pane="topRight" activeCell="H1" sqref="H1"/>
      <selection pane="bottomLeft" activeCell="A8" sqref="A8"/>
      <selection pane="bottomRight" activeCell="A15" sqref="A15:IV15"/>
    </sheetView>
  </sheetViews>
  <sheetFormatPr defaultColWidth="9" defaultRowHeight="12.75" customHeight="1"/>
  <cols>
    <col min="1" max="1" width="10.21875" style="1" bestFit="1" customWidth="1"/>
    <col min="2" max="5" width="4.109375" style="1" customWidth="1"/>
    <col min="6" max="7" width="4.109375" style="4" customWidth="1"/>
    <col min="8" max="8" width="6.44140625" style="1" customWidth="1"/>
    <col min="9" max="21" width="4.109375" style="1" customWidth="1"/>
    <col min="22" max="29" width="5.109375" style="1" customWidth="1"/>
    <col min="30" max="36" width="4.109375" style="1" customWidth="1"/>
    <col min="37" max="39" width="4.109375" style="5" customWidth="1"/>
    <col min="40" max="43" width="4" style="1" customWidth="1"/>
    <col min="44" max="16384" width="9" style="1"/>
  </cols>
  <sheetData>
    <row r="1" spans="1:179" ht="12.75" customHeight="1">
      <c r="A1" s="220" t="s">
        <v>18</v>
      </c>
      <c r="B1" s="220"/>
      <c r="C1" s="220"/>
      <c r="D1" s="220"/>
      <c r="E1" s="220"/>
      <c r="F1" s="220"/>
      <c r="G1" s="220"/>
      <c r="H1" s="220"/>
      <c r="I1" s="220"/>
      <c r="J1" s="220"/>
      <c r="K1" s="220"/>
      <c r="L1" s="220"/>
      <c r="M1" s="220"/>
      <c r="N1" s="220"/>
      <c r="O1" s="220"/>
      <c r="P1" s="220"/>
      <c r="Q1" s="220"/>
      <c r="R1" s="220"/>
      <c r="S1" s="220"/>
      <c r="T1" s="220"/>
      <c r="U1" s="220"/>
      <c r="V1" s="220"/>
      <c r="W1" s="220"/>
      <c r="X1" s="220"/>
      <c r="Y1" s="220"/>
      <c r="Z1" s="220"/>
      <c r="AA1" s="220"/>
      <c r="AB1" s="220"/>
      <c r="AC1" s="220"/>
      <c r="AD1" s="220"/>
      <c r="AE1" s="220"/>
      <c r="AF1" s="220"/>
      <c r="AG1" s="220"/>
      <c r="AH1" s="220"/>
      <c r="AI1" s="220"/>
      <c r="AK1" s="1"/>
      <c r="AL1" s="1"/>
      <c r="AM1" s="1"/>
    </row>
    <row r="2" spans="1:179" ht="13.5" customHeight="1">
      <c r="A2" s="221" t="s">
        <v>0</v>
      </c>
      <c r="B2" s="222"/>
      <c r="C2" s="222"/>
      <c r="D2" s="222"/>
      <c r="E2" s="222"/>
      <c r="F2" s="222"/>
      <c r="G2" s="223"/>
      <c r="H2" s="221" t="s">
        <v>1</v>
      </c>
      <c r="I2" s="222"/>
      <c r="J2" s="222"/>
      <c r="K2" s="222"/>
      <c r="L2" s="222"/>
      <c r="M2" s="222"/>
      <c r="N2" s="223"/>
      <c r="O2" s="24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221" t="s">
        <v>24</v>
      </c>
      <c r="AE2" s="222"/>
      <c r="AF2" s="223"/>
      <c r="AG2" s="222" t="s">
        <v>25</v>
      </c>
      <c r="AH2" s="222"/>
      <c r="AI2" s="223"/>
      <c r="AK2" s="1"/>
      <c r="AL2" s="1"/>
      <c r="AM2" s="1"/>
    </row>
    <row r="3" spans="1:179" ht="13.5" customHeight="1">
      <c r="A3" s="245" t="s">
        <v>21</v>
      </c>
      <c r="B3" s="246"/>
      <c r="C3" s="246"/>
      <c r="D3" s="246"/>
      <c r="E3" s="246"/>
      <c r="F3" s="246"/>
      <c r="G3" s="247"/>
      <c r="H3" s="245" t="s">
        <v>55</v>
      </c>
      <c r="I3" s="246"/>
      <c r="J3" s="246"/>
      <c r="K3" s="246"/>
      <c r="L3" s="246"/>
      <c r="M3" s="246"/>
      <c r="N3" s="247"/>
      <c r="O3" s="18"/>
      <c r="P3" s="19"/>
      <c r="Q3" s="19"/>
      <c r="R3" s="19"/>
      <c r="S3" s="19"/>
      <c r="T3" s="19"/>
      <c r="U3" s="19"/>
      <c r="V3" s="19"/>
      <c r="W3" s="19"/>
      <c r="X3" s="19"/>
      <c r="Y3" s="19"/>
      <c r="Z3" s="19"/>
      <c r="AA3" s="19"/>
      <c r="AB3" s="19"/>
      <c r="AC3" s="19"/>
      <c r="AD3" s="240">
        <v>41219</v>
      </c>
      <c r="AE3" s="241"/>
      <c r="AF3" s="242"/>
      <c r="AG3" s="241" t="s">
        <v>26</v>
      </c>
      <c r="AH3" s="241"/>
      <c r="AI3" s="242"/>
      <c r="AK3" s="1"/>
      <c r="AL3" s="1"/>
      <c r="AM3" s="1"/>
    </row>
    <row r="4" spans="1:179" ht="12">
      <c r="A4" s="248"/>
      <c r="B4" s="249"/>
      <c r="C4" s="249"/>
      <c r="D4" s="249"/>
      <c r="E4" s="249"/>
      <c r="F4" s="249"/>
      <c r="G4" s="250"/>
      <c r="H4" s="248"/>
      <c r="I4" s="249"/>
      <c r="J4" s="249"/>
      <c r="K4" s="249"/>
      <c r="L4" s="249"/>
      <c r="M4" s="249"/>
      <c r="N4" s="250"/>
      <c r="O4" s="21"/>
      <c r="P4" s="22"/>
      <c r="Q4" s="22"/>
      <c r="R4" s="22"/>
      <c r="S4" s="22"/>
      <c r="T4" s="22"/>
      <c r="U4" s="22"/>
      <c r="V4" s="22"/>
      <c r="W4" s="22"/>
      <c r="X4" s="22"/>
      <c r="Y4" s="22"/>
      <c r="Z4" s="22"/>
      <c r="AA4" s="22"/>
      <c r="AB4" s="22"/>
      <c r="AC4" s="22"/>
      <c r="AD4" s="251">
        <v>41163</v>
      </c>
      <c r="AE4" s="252"/>
      <c r="AF4" s="253"/>
      <c r="AG4" s="243" t="s">
        <v>65</v>
      </c>
      <c r="AH4" s="243"/>
      <c r="AI4" s="244"/>
      <c r="AK4" s="1"/>
      <c r="AL4" s="1"/>
      <c r="AM4" s="1"/>
    </row>
    <row r="5" spans="1:179" s="3" customFormat="1" ht="12.75" customHeight="1">
      <c r="A5" s="87" t="s">
        <v>20</v>
      </c>
      <c r="B5" s="88" t="s">
        <v>5</v>
      </c>
      <c r="C5" s="88"/>
      <c r="D5" s="88"/>
      <c r="E5" s="88"/>
      <c r="F5" s="88"/>
      <c r="G5" s="89"/>
      <c r="H5" s="87" t="s">
        <v>27</v>
      </c>
      <c r="I5" s="88"/>
      <c r="J5" s="88"/>
      <c r="K5" s="88"/>
      <c r="L5" s="88"/>
      <c r="M5" s="88"/>
      <c r="N5" s="88"/>
      <c r="O5" s="88"/>
      <c r="P5" s="88"/>
      <c r="Q5" s="88"/>
      <c r="R5" s="88"/>
      <c r="S5" s="88"/>
      <c r="T5" s="88"/>
      <c r="U5" s="89"/>
      <c r="V5" s="210" t="s">
        <v>78</v>
      </c>
      <c r="W5" s="219"/>
      <c r="X5" s="219"/>
      <c r="Y5" s="211"/>
      <c r="Z5" s="224" t="s">
        <v>30</v>
      </c>
      <c r="AA5" s="225"/>
      <c r="AB5" s="225"/>
      <c r="AC5" s="226"/>
      <c r="AD5" s="227" t="s">
        <v>29</v>
      </c>
      <c r="AE5" s="228"/>
      <c r="AF5" s="228"/>
      <c r="AG5" s="228"/>
      <c r="AH5" s="228"/>
      <c r="AI5" s="229"/>
      <c r="AJ5" s="2"/>
      <c r="AK5" s="7"/>
      <c r="AL5" s="7"/>
      <c r="AM5" s="7"/>
      <c r="AN5" s="7"/>
      <c r="AO5" s="7"/>
      <c r="AP5" s="7"/>
      <c r="AQ5" s="7"/>
      <c r="AR5" s="7"/>
      <c r="AS5" s="7"/>
      <c r="AT5" s="7"/>
      <c r="AU5" s="7"/>
      <c r="AV5" s="7"/>
      <c r="AW5" s="7"/>
      <c r="AX5" s="7"/>
      <c r="AY5" s="7"/>
      <c r="AZ5" s="7"/>
      <c r="BA5" s="7"/>
      <c r="BB5" s="7"/>
      <c r="BC5" s="7"/>
      <c r="BD5" s="7"/>
      <c r="BE5" s="7"/>
      <c r="BF5" s="7"/>
      <c r="BG5" s="7"/>
      <c r="BH5" s="7"/>
      <c r="BI5" s="7"/>
      <c r="BJ5" s="7"/>
      <c r="BK5" s="7"/>
      <c r="BL5" s="7"/>
      <c r="BM5" s="7"/>
      <c r="BN5" s="7"/>
      <c r="BO5" s="7"/>
      <c r="BP5" s="7"/>
      <c r="BQ5" s="7"/>
      <c r="BR5" s="7"/>
      <c r="BS5" s="7"/>
      <c r="BT5" s="7"/>
      <c r="BU5" s="7"/>
      <c r="BV5" s="7"/>
      <c r="BW5" s="7"/>
      <c r="BX5" s="7"/>
      <c r="BY5" s="7"/>
      <c r="BZ5" s="7"/>
      <c r="CA5" s="7"/>
      <c r="CB5" s="7"/>
      <c r="CC5" s="7"/>
      <c r="CD5" s="7"/>
      <c r="CE5" s="7"/>
      <c r="CF5" s="7"/>
      <c r="CG5" s="7"/>
      <c r="CH5" s="7"/>
      <c r="CI5" s="7"/>
      <c r="CJ5" s="7"/>
      <c r="CK5" s="7"/>
      <c r="CL5" s="7"/>
      <c r="CM5" s="7"/>
      <c r="CN5" s="7"/>
      <c r="CO5" s="7"/>
      <c r="CP5" s="7"/>
      <c r="CQ5" s="7"/>
      <c r="CR5" s="7"/>
      <c r="CS5" s="7"/>
      <c r="CT5" s="7"/>
      <c r="CU5" s="7"/>
      <c r="CV5" s="7"/>
      <c r="CW5" s="7"/>
      <c r="CX5" s="7"/>
      <c r="CY5" s="7"/>
      <c r="CZ5" s="7"/>
      <c r="DA5" s="7"/>
      <c r="DB5" s="7"/>
      <c r="DC5" s="7"/>
      <c r="DD5" s="7"/>
      <c r="DE5" s="7"/>
      <c r="DF5" s="7"/>
      <c r="DG5" s="7"/>
      <c r="DH5" s="7"/>
      <c r="DI5" s="7"/>
      <c r="DJ5" s="7"/>
      <c r="DK5" s="7"/>
      <c r="DL5" s="7"/>
      <c r="DM5" s="7"/>
      <c r="DN5" s="7"/>
      <c r="DO5" s="7"/>
      <c r="DP5" s="7"/>
      <c r="DQ5" s="7"/>
      <c r="DR5" s="7"/>
      <c r="DS5" s="7"/>
      <c r="DT5" s="7"/>
      <c r="DU5" s="7"/>
      <c r="DV5" s="7"/>
      <c r="DW5" s="7"/>
      <c r="DX5" s="7"/>
      <c r="DY5" s="7"/>
      <c r="DZ5" s="7"/>
      <c r="EA5" s="7"/>
      <c r="EB5" s="7"/>
      <c r="EC5" s="7"/>
      <c r="ED5" s="7"/>
      <c r="EE5" s="7"/>
      <c r="EF5" s="7"/>
      <c r="EG5" s="7"/>
      <c r="EH5" s="7"/>
      <c r="EI5" s="7"/>
      <c r="EJ5" s="7"/>
      <c r="EK5" s="7"/>
      <c r="EL5" s="7"/>
      <c r="EM5" s="7"/>
      <c r="EN5" s="7"/>
      <c r="EO5" s="7"/>
      <c r="EP5" s="7"/>
      <c r="EQ5" s="7"/>
      <c r="ER5" s="7"/>
      <c r="ES5" s="7"/>
      <c r="ET5" s="7"/>
      <c r="EU5" s="7"/>
      <c r="EV5" s="7"/>
      <c r="EW5" s="7"/>
      <c r="EX5" s="7"/>
      <c r="EY5" s="7"/>
      <c r="EZ5" s="7"/>
      <c r="FA5" s="7"/>
      <c r="FB5" s="7"/>
      <c r="FC5" s="7"/>
      <c r="FD5" s="7"/>
      <c r="FE5" s="7"/>
      <c r="FF5" s="7"/>
      <c r="FG5" s="7"/>
      <c r="FH5" s="7"/>
      <c r="FI5" s="7"/>
      <c r="FJ5" s="7"/>
      <c r="FK5" s="7"/>
      <c r="FL5" s="7"/>
      <c r="FM5" s="7"/>
      <c r="FN5" s="7"/>
      <c r="FO5" s="7"/>
      <c r="FP5" s="7"/>
      <c r="FQ5" s="7"/>
      <c r="FR5" s="7"/>
      <c r="FS5" s="7"/>
      <c r="FT5" s="7"/>
      <c r="FU5" s="7"/>
      <c r="FV5" s="7"/>
      <c r="FW5" s="7"/>
    </row>
    <row r="6" spans="1:179" s="3" customFormat="1" ht="12.75" customHeight="1">
      <c r="A6" s="144"/>
      <c r="B6" s="142"/>
      <c r="C6" s="142"/>
      <c r="D6" s="142"/>
      <c r="E6" s="142"/>
      <c r="F6" s="142"/>
      <c r="G6" s="143"/>
      <c r="H6" s="144"/>
      <c r="I6" s="142"/>
      <c r="J6" s="142"/>
      <c r="K6" s="142"/>
      <c r="L6" s="142"/>
      <c r="M6" s="142"/>
      <c r="N6" s="142"/>
      <c r="O6" s="142"/>
      <c r="P6" s="142"/>
      <c r="Q6" s="142"/>
      <c r="R6" s="142"/>
      <c r="S6" s="142"/>
      <c r="T6" s="142"/>
      <c r="U6" s="143"/>
      <c r="V6" s="210" t="s">
        <v>76</v>
      </c>
      <c r="W6" s="211"/>
      <c r="X6" s="219" t="s">
        <v>77</v>
      </c>
      <c r="Y6" s="211"/>
      <c r="Z6" s="210" t="s">
        <v>76</v>
      </c>
      <c r="AA6" s="211"/>
      <c r="AB6" s="219" t="s">
        <v>77</v>
      </c>
      <c r="AC6" s="211"/>
      <c r="AD6" s="134"/>
      <c r="AE6" s="135"/>
      <c r="AF6" s="135"/>
      <c r="AG6" s="135"/>
      <c r="AH6" s="135"/>
      <c r="AI6" s="136"/>
      <c r="AJ6" s="2"/>
      <c r="AK6" s="7"/>
      <c r="AL6" s="7"/>
      <c r="AM6" s="7"/>
      <c r="AN6" s="7"/>
      <c r="AO6" s="7"/>
      <c r="AP6" s="7"/>
      <c r="AQ6" s="7"/>
      <c r="AR6" s="7"/>
      <c r="AS6" s="7"/>
      <c r="AT6" s="7"/>
      <c r="AU6" s="7"/>
      <c r="AV6" s="7"/>
      <c r="AW6" s="7"/>
      <c r="AX6" s="7"/>
      <c r="AY6" s="7"/>
      <c r="AZ6" s="7"/>
      <c r="BA6" s="7"/>
      <c r="BB6" s="7"/>
      <c r="BC6" s="7"/>
      <c r="BD6" s="7"/>
      <c r="BE6" s="7"/>
      <c r="BF6" s="7"/>
      <c r="BG6" s="7"/>
      <c r="BH6" s="7"/>
      <c r="BI6" s="7"/>
      <c r="BJ6" s="7"/>
      <c r="BK6" s="7"/>
      <c r="BL6" s="7"/>
      <c r="BM6" s="7"/>
      <c r="BN6" s="7"/>
      <c r="BO6" s="7"/>
      <c r="BP6" s="7"/>
      <c r="BQ6" s="7"/>
      <c r="BR6" s="7"/>
      <c r="BS6" s="7"/>
      <c r="BT6" s="7"/>
      <c r="BU6" s="7"/>
      <c r="BV6" s="7"/>
      <c r="BW6" s="7"/>
      <c r="BX6" s="7"/>
      <c r="BY6" s="7"/>
      <c r="BZ6" s="7"/>
      <c r="CA6" s="7"/>
      <c r="CB6" s="7"/>
      <c r="CC6" s="7"/>
      <c r="CD6" s="7"/>
      <c r="CE6" s="7"/>
      <c r="CF6" s="7"/>
      <c r="CG6" s="7"/>
      <c r="CH6" s="7"/>
      <c r="CI6" s="7"/>
      <c r="CJ6" s="7"/>
      <c r="CK6" s="7"/>
      <c r="CL6" s="7"/>
      <c r="CM6" s="7"/>
      <c r="CN6" s="7"/>
      <c r="CO6" s="7"/>
      <c r="CP6" s="7"/>
      <c r="CQ6" s="7"/>
      <c r="CR6" s="7"/>
      <c r="CS6" s="7"/>
      <c r="CT6" s="7"/>
      <c r="CU6" s="7"/>
      <c r="CV6" s="7"/>
      <c r="CW6" s="7"/>
      <c r="CX6" s="7"/>
      <c r="CY6" s="7"/>
      <c r="CZ6" s="7"/>
      <c r="DA6" s="7"/>
      <c r="DB6" s="7"/>
      <c r="DC6" s="7"/>
      <c r="DD6" s="7"/>
      <c r="DE6" s="7"/>
      <c r="DF6" s="7"/>
      <c r="DG6" s="7"/>
      <c r="DH6" s="7"/>
      <c r="DI6" s="7"/>
      <c r="DJ6" s="7"/>
      <c r="DK6" s="7"/>
      <c r="DL6" s="7"/>
      <c r="DM6" s="7"/>
      <c r="DN6" s="7"/>
      <c r="DO6" s="7"/>
      <c r="DP6" s="7"/>
      <c r="DQ6" s="7"/>
      <c r="DR6" s="7"/>
      <c r="DS6" s="7"/>
      <c r="DT6" s="7"/>
      <c r="DU6" s="7"/>
      <c r="DV6" s="7"/>
      <c r="DW6" s="7"/>
      <c r="DX6" s="7"/>
      <c r="DY6" s="7"/>
      <c r="DZ6" s="7"/>
      <c r="EA6" s="7"/>
      <c r="EB6" s="7"/>
      <c r="EC6" s="7"/>
      <c r="ED6" s="7"/>
      <c r="EE6" s="7"/>
      <c r="EF6" s="7"/>
      <c r="EG6" s="7"/>
      <c r="EH6" s="7"/>
      <c r="EI6" s="7"/>
      <c r="EJ6" s="7"/>
      <c r="EK6" s="7"/>
      <c r="EL6" s="7"/>
      <c r="EM6" s="7"/>
      <c r="EN6" s="7"/>
      <c r="EO6" s="7"/>
      <c r="EP6" s="7"/>
      <c r="EQ6" s="7"/>
      <c r="ER6" s="7"/>
      <c r="ES6" s="7"/>
      <c r="ET6" s="7"/>
      <c r="EU6" s="7"/>
      <c r="EV6" s="7"/>
      <c r="EW6" s="7"/>
      <c r="EX6" s="7"/>
      <c r="EY6" s="7"/>
      <c r="EZ6" s="7"/>
      <c r="FA6" s="7"/>
      <c r="FB6" s="7"/>
      <c r="FC6" s="7"/>
      <c r="FD6" s="7"/>
      <c r="FE6" s="7"/>
      <c r="FF6" s="7"/>
      <c r="FG6" s="7"/>
      <c r="FH6" s="7"/>
      <c r="FI6" s="7"/>
      <c r="FJ6" s="7"/>
      <c r="FK6" s="7"/>
      <c r="FL6" s="7"/>
      <c r="FM6" s="7"/>
      <c r="FN6" s="7"/>
      <c r="FO6" s="7"/>
      <c r="FP6" s="7"/>
      <c r="FQ6" s="7"/>
      <c r="FR6" s="7"/>
      <c r="FS6" s="7"/>
      <c r="FT6" s="7"/>
      <c r="FU6" s="7"/>
      <c r="FV6" s="7"/>
      <c r="FW6" s="7"/>
    </row>
    <row r="7" spans="1:179" s="3" customFormat="1" ht="12.75" customHeight="1">
      <c r="A7" s="90"/>
      <c r="B7" s="91"/>
      <c r="C7" s="91"/>
      <c r="D7" s="91"/>
      <c r="E7" s="91"/>
      <c r="F7" s="91"/>
      <c r="G7" s="92"/>
      <c r="H7" s="90"/>
      <c r="I7" s="91"/>
      <c r="J7" s="91"/>
      <c r="K7" s="91"/>
      <c r="L7" s="91"/>
      <c r="M7" s="91"/>
      <c r="N7" s="91"/>
      <c r="O7" s="91"/>
      <c r="P7" s="91"/>
      <c r="Q7" s="91"/>
      <c r="R7" s="91"/>
      <c r="S7" s="91"/>
      <c r="T7" s="91"/>
      <c r="U7" s="92"/>
      <c r="V7" s="130" t="s">
        <v>74</v>
      </c>
      <c r="W7" s="131" t="s">
        <v>75</v>
      </c>
      <c r="X7" s="130" t="s">
        <v>74</v>
      </c>
      <c r="Y7" s="131" t="s">
        <v>75</v>
      </c>
      <c r="Z7" s="130" t="s">
        <v>74</v>
      </c>
      <c r="AA7" s="131" t="s">
        <v>75</v>
      </c>
      <c r="AB7" s="130" t="s">
        <v>74</v>
      </c>
      <c r="AC7" s="131" t="s">
        <v>75</v>
      </c>
      <c r="AD7" s="93"/>
      <c r="AE7" s="94"/>
      <c r="AF7" s="94"/>
      <c r="AG7" s="94"/>
      <c r="AH7" s="94"/>
      <c r="AI7" s="95"/>
      <c r="AJ7" s="2"/>
      <c r="AK7" s="7"/>
      <c r="AL7" s="7"/>
      <c r="AM7" s="7"/>
      <c r="AN7" s="7"/>
      <c r="AO7" s="7"/>
      <c r="AP7" s="7"/>
      <c r="AQ7" s="7"/>
      <c r="AR7" s="7"/>
      <c r="AS7" s="7"/>
      <c r="AT7" s="7"/>
      <c r="AU7" s="7"/>
      <c r="AV7" s="7"/>
      <c r="AW7" s="7"/>
      <c r="AX7" s="7"/>
      <c r="AY7" s="7"/>
      <c r="AZ7" s="7"/>
      <c r="BA7" s="7"/>
      <c r="BB7" s="7"/>
      <c r="BC7" s="7"/>
      <c r="BD7" s="7"/>
      <c r="BE7" s="7"/>
      <c r="BF7" s="7"/>
      <c r="BG7" s="7"/>
      <c r="BH7" s="7"/>
      <c r="BI7" s="7"/>
      <c r="BJ7" s="7"/>
      <c r="BK7" s="7"/>
      <c r="BL7" s="7"/>
      <c r="BM7" s="7"/>
      <c r="BN7" s="7"/>
      <c r="BO7" s="7"/>
      <c r="BP7" s="7"/>
      <c r="BQ7" s="7"/>
      <c r="BR7" s="7"/>
      <c r="BS7" s="7"/>
      <c r="BT7" s="7"/>
      <c r="BU7" s="7"/>
      <c r="BV7" s="7"/>
      <c r="BW7" s="7"/>
      <c r="BX7" s="7"/>
      <c r="BY7" s="7"/>
      <c r="BZ7" s="7"/>
      <c r="CA7" s="7"/>
      <c r="CB7" s="7"/>
      <c r="CC7" s="7"/>
      <c r="CD7" s="7"/>
      <c r="CE7" s="7"/>
      <c r="CF7" s="7"/>
      <c r="CG7" s="7"/>
      <c r="CH7" s="7"/>
      <c r="CI7" s="7"/>
      <c r="CJ7" s="7"/>
      <c r="CK7" s="7"/>
      <c r="CL7" s="7"/>
      <c r="CM7" s="7"/>
      <c r="CN7" s="7"/>
      <c r="CO7" s="7"/>
      <c r="CP7" s="7"/>
      <c r="CQ7" s="7"/>
      <c r="CR7" s="7"/>
      <c r="CS7" s="7"/>
      <c r="CT7" s="7"/>
      <c r="CU7" s="7"/>
      <c r="CV7" s="7"/>
      <c r="CW7" s="7"/>
      <c r="CX7" s="7"/>
      <c r="CY7" s="7"/>
      <c r="CZ7" s="7"/>
      <c r="DA7" s="7"/>
      <c r="DB7" s="7"/>
      <c r="DC7" s="7"/>
      <c r="DD7" s="7"/>
      <c r="DE7" s="7"/>
      <c r="DF7" s="7"/>
      <c r="DG7" s="7"/>
      <c r="DH7" s="7"/>
      <c r="DI7" s="7"/>
      <c r="DJ7" s="7"/>
      <c r="DK7" s="7"/>
      <c r="DL7" s="7"/>
      <c r="DM7" s="7"/>
      <c r="DN7" s="7"/>
      <c r="DO7" s="7"/>
      <c r="DP7" s="7"/>
      <c r="DQ7" s="7"/>
      <c r="DR7" s="7"/>
      <c r="DS7" s="7"/>
      <c r="DT7" s="7"/>
      <c r="DU7" s="7"/>
      <c r="DV7" s="7"/>
      <c r="DW7" s="7"/>
      <c r="DX7" s="7"/>
      <c r="DY7" s="7"/>
      <c r="DZ7" s="7"/>
      <c r="EA7" s="7"/>
      <c r="EB7" s="7"/>
      <c r="EC7" s="7"/>
      <c r="ED7" s="7"/>
      <c r="EE7" s="7"/>
      <c r="EF7" s="7"/>
      <c r="EG7" s="7"/>
      <c r="EH7" s="7"/>
      <c r="EI7" s="7"/>
      <c r="EJ7" s="7"/>
      <c r="EK7" s="7"/>
      <c r="EL7" s="7"/>
      <c r="EM7" s="7"/>
      <c r="EN7" s="7"/>
      <c r="EO7" s="7"/>
      <c r="EP7" s="7"/>
      <c r="EQ7" s="7"/>
      <c r="ER7" s="7"/>
      <c r="ES7" s="7"/>
      <c r="ET7" s="7"/>
      <c r="EU7" s="7"/>
      <c r="EV7" s="7"/>
      <c r="EW7" s="7"/>
      <c r="EX7" s="7"/>
      <c r="EY7" s="7"/>
      <c r="EZ7" s="7"/>
      <c r="FA7" s="7"/>
      <c r="FB7" s="7"/>
      <c r="FC7" s="7"/>
      <c r="FD7" s="7"/>
      <c r="FE7" s="7"/>
      <c r="FF7" s="7"/>
      <c r="FG7" s="7"/>
      <c r="FH7" s="7"/>
      <c r="FI7" s="7"/>
      <c r="FJ7" s="7"/>
      <c r="FK7" s="7"/>
      <c r="FL7" s="7"/>
      <c r="FM7" s="7"/>
      <c r="FN7" s="7"/>
      <c r="FO7" s="7"/>
      <c r="FP7" s="7"/>
      <c r="FQ7" s="7"/>
      <c r="FR7" s="7"/>
      <c r="FS7" s="7"/>
      <c r="FT7" s="7"/>
      <c r="FU7" s="7"/>
      <c r="FV7" s="7"/>
      <c r="FW7" s="7"/>
    </row>
    <row r="8" spans="1:179" ht="36.75" customHeight="1">
      <c r="A8" s="28" t="s">
        <v>61</v>
      </c>
      <c r="B8" s="29" t="s">
        <v>64</v>
      </c>
      <c r="C8" s="29"/>
      <c r="D8" s="29"/>
      <c r="E8" s="29"/>
      <c r="F8" s="29"/>
      <c r="G8" s="30"/>
      <c r="H8" s="29">
        <v>1</v>
      </c>
      <c r="I8" s="196" t="s">
        <v>82</v>
      </c>
      <c r="J8" s="196"/>
      <c r="K8" s="196"/>
      <c r="L8" s="196"/>
      <c r="M8" s="196"/>
      <c r="N8" s="196"/>
      <c r="O8" s="196"/>
      <c r="P8" s="196"/>
      <c r="Q8" s="196"/>
      <c r="R8" s="196"/>
      <c r="S8" s="196"/>
      <c r="T8" s="196"/>
      <c r="U8" s="197"/>
      <c r="V8" s="140">
        <v>41227</v>
      </c>
      <c r="W8" s="141">
        <v>41228</v>
      </c>
      <c r="X8" s="138"/>
      <c r="Y8" s="139"/>
      <c r="Z8" s="140">
        <v>41227</v>
      </c>
      <c r="AA8" s="141">
        <v>41228</v>
      </c>
      <c r="AB8" s="138">
        <v>41235</v>
      </c>
      <c r="AC8" s="139">
        <v>41242</v>
      </c>
      <c r="AD8" s="32"/>
      <c r="AE8" s="33"/>
      <c r="AF8" s="33"/>
      <c r="AG8" s="33"/>
      <c r="AH8" s="33"/>
      <c r="AI8" s="30"/>
      <c r="AK8" s="1"/>
      <c r="AL8" s="1"/>
      <c r="AM8" s="1"/>
    </row>
    <row r="9" spans="1:179" ht="24.9" customHeight="1">
      <c r="A9" s="28"/>
      <c r="B9" s="29"/>
      <c r="C9" s="29"/>
      <c r="D9" s="29"/>
      <c r="E9" s="29"/>
      <c r="F9" s="29"/>
      <c r="G9" s="30"/>
      <c r="H9" s="29">
        <v>2</v>
      </c>
      <c r="I9" s="196" t="s">
        <v>79</v>
      </c>
      <c r="J9" s="196"/>
      <c r="K9" s="196"/>
      <c r="L9" s="196"/>
      <c r="M9" s="196"/>
      <c r="N9" s="196"/>
      <c r="O9" s="196"/>
      <c r="P9" s="196"/>
      <c r="Q9" s="196"/>
      <c r="R9" s="196"/>
      <c r="S9" s="196"/>
      <c r="T9" s="196"/>
      <c r="U9" s="197"/>
      <c r="V9" s="140"/>
      <c r="W9" s="141"/>
      <c r="X9" s="140"/>
      <c r="Y9" s="141"/>
      <c r="Z9" s="140"/>
      <c r="AA9" s="141"/>
      <c r="AB9" s="140"/>
      <c r="AC9" s="141"/>
      <c r="AD9" s="32"/>
      <c r="AE9" s="33"/>
      <c r="AF9" s="33"/>
      <c r="AG9" s="33"/>
      <c r="AH9" s="33"/>
      <c r="AI9" s="30"/>
      <c r="AK9" s="1"/>
      <c r="AL9" s="1"/>
      <c r="AM9" s="1"/>
    </row>
    <row r="10" spans="1:179" s="82" customFormat="1" ht="24.9" customHeight="1">
      <c r="A10" s="83"/>
      <c r="B10" s="81"/>
      <c r="C10" s="81"/>
      <c r="D10" s="81"/>
      <c r="E10" s="81"/>
      <c r="F10" s="81"/>
      <c r="G10" s="84"/>
      <c r="H10" s="81"/>
      <c r="I10" s="238" t="s">
        <v>80</v>
      </c>
      <c r="J10" s="238"/>
      <c r="K10" s="238"/>
      <c r="L10" s="238"/>
      <c r="M10" s="238"/>
      <c r="N10" s="238"/>
      <c r="O10" s="238"/>
      <c r="P10" s="238"/>
      <c r="Q10" s="238"/>
      <c r="R10" s="238"/>
      <c r="S10" s="238"/>
      <c r="T10" s="238"/>
      <c r="U10" s="239"/>
      <c r="V10" s="140">
        <v>41227</v>
      </c>
      <c r="W10" s="141">
        <v>41228</v>
      </c>
      <c r="X10" s="138"/>
      <c r="Y10" s="139"/>
      <c r="Z10" s="140">
        <v>41227</v>
      </c>
      <c r="AA10" s="141">
        <v>41228</v>
      </c>
      <c r="AB10" s="138">
        <v>41235</v>
      </c>
      <c r="AC10" s="139">
        <v>41242</v>
      </c>
      <c r="AD10" s="85"/>
      <c r="AE10" s="86"/>
      <c r="AF10" s="86"/>
      <c r="AG10" s="86"/>
      <c r="AH10" s="86"/>
      <c r="AI10" s="84"/>
    </row>
    <row r="11" spans="1:179" s="82" customFormat="1" ht="24.9" customHeight="1">
      <c r="A11" s="83"/>
      <c r="B11" s="236"/>
      <c r="C11" s="236"/>
      <c r="D11" s="236"/>
      <c r="E11" s="236"/>
      <c r="F11" s="236"/>
      <c r="G11" s="237"/>
      <c r="H11" s="29"/>
      <c r="I11" s="196"/>
      <c r="J11" s="196"/>
      <c r="K11" s="196"/>
      <c r="L11" s="196"/>
      <c r="M11" s="196"/>
      <c r="N11" s="196"/>
      <c r="O11" s="196"/>
      <c r="P11" s="196"/>
      <c r="Q11" s="196"/>
      <c r="R11" s="196"/>
      <c r="S11" s="196"/>
      <c r="T11" s="196"/>
      <c r="U11" s="197"/>
      <c r="V11" s="132"/>
      <c r="W11" s="133"/>
      <c r="X11" s="132"/>
      <c r="Y11" s="133"/>
      <c r="Z11" s="132"/>
      <c r="AA11" s="133"/>
      <c r="AB11" s="140"/>
      <c r="AC11" s="141"/>
      <c r="AD11" s="85"/>
      <c r="AE11" s="86"/>
      <c r="AF11" s="86"/>
      <c r="AG11" s="86"/>
      <c r="AH11" s="86"/>
      <c r="AI11" s="84"/>
    </row>
    <row r="12" spans="1:179" ht="24.9" customHeight="1">
      <c r="A12" s="28"/>
      <c r="B12" s="29"/>
      <c r="C12" s="29"/>
      <c r="D12" s="29"/>
      <c r="E12" s="29"/>
      <c r="F12" s="29"/>
      <c r="G12" s="30"/>
      <c r="H12" s="29"/>
      <c r="I12" s="196"/>
      <c r="J12" s="196"/>
      <c r="K12" s="196"/>
      <c r="L12" s="196"/>
      <c r="M12" s="196"/>
      <c r="N12" s="196"/>
      <c r="O12" s="196"/>
      <c r="P12" s="196"/>
      <c r="Q12" s="196"/>
      <c r="R12" s="196"/>
      <c r="S12" s="196"/>
      <c r="T12" s="196"/>
      <c r="U12" s="197"/>
      <c r="V12" s="132"/>
      <c r="W12" s="133"/>
      <c r="X12" s="132"/>
      <c r="Y12" s="133"/>
      <c r="Z12" s="132"/>
      <c r="AA12" s="133"/>
      <c r="AB12" s="132"/>
      <c r="AC12" s="133"/>
      <c r="AD12" s="32"/>
      <c r="AE12" s="33"/>
      <c r="AF12" s="33"/>
      <c r="AG12" s="33"/>
      <c r="AH12" s="33"/>
      <c r="AI12" s="30"/>
      <c r="AK12" s="1"/>
      <c r="AL12" s="1"/>
      <c r="AM12" s="1"/>
    </row>
    <row r="13" spans="1:179" ht="24.9" customHeight="1">
      <c r="A13" s="28" t="s">
        <v>62</v>
      </c>
      <c r="B13" s="29" t="s">
        <v>39</v>
      </c>
      <c r="C13" s="29"/>
      <c r="D13" s="29"/>
      <c r="E13" s="29"/>
      <c r="F13" s="29"/>
      <c r="G13" s="30"/>
      <c r="H13" s="29">
        <v>1</v>
      </c>
      <c r="I13" s="196" t="s">
        <v>81</v>
      </c>
      <c r="J13" s="196"/>
      <c r="K13" s="196"/>
      <c r="L13" s="196"/>
      <c r="M13" s="196"/>
      <c r="N13" s="196"/>
      <c r="O13" s="196"/>
      <c r="P13" s="196"/>
      <c r="Q13" s="196"/>
      <c r="R13" s="196"/>
      <c r="S13" s="196"/>
      <c r="T13" s="196"/>
      <c r="U13" s="197"/>
      <c r="V13" s="140">
        <v>41228</v>
      </c>
      <c r="W13" s="141">
        <v>41229</v>
      </c>
      <c r="X13" s="140"/>
      <c r="Y13" s="141"/>
      <c r="Z13" s="140">
        <v>41228</v>
      </c>
      <c r="AA13" s="141">
        <v>41229</v>
      </c>
      <c r="AB13" s="138">
        <v>41235</v>
      </c>
      <c r="AC13" s="139">
        <v>41242</v>
      </c>
      <c r="AD13" s="32"/>
      <c r="AE13" s="33"/>
      <c r="AF13" s="33"/>
      <c r="AG13" s="33"/>
      <c r="AH13" s="33"/>
      <c r="AI13" s="30"/>
      <c r="AK13" s="1"/>
      <c r="AL13" s="1"/>
      <c r="AM13" s="1"/>
    </row>
    <row r="14" spans="1:179" ht="24.9" customHeight="1">
      <c r="A14" s="28"/>
      <c r="B14" s="29"/>
      <c r="C14" s="29"/>
      <c r="D14" s="29"/>
      <c r="E14" s="29"/>
      <c r="F14" s="29"/>
      <c r="G14" s="30"/>
      <c r="H14" s="29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7"/>
      <c r="V14" s="132"/>
      <c r="W14" s="133"/>
      <c r="X14" s="132"/>
      <c r="Y14" s="133"/>
      <c r="Z14" s="132"/>
      <c r="AA14" s="133"/>
      <c r="AB14" s="132"/>
      <c r="AC14" s="133"/>
      <c r="AD14" s="32"/>
      <c r="AE14" s="33"/>
      <c r="AF14" s="33"/>
      <c r="AG14" s="33"/>
      <c r="AH14" s="33"/>
      <c r="AI14" s="30"/>
      <c r="AK14" s="1"/>
      <c r="AL14" s="1"/>
      <c r="AM14" s="1"/>
    </row>
    <row r="15" spans="1:179" ht="24.9" hidden="1" customHeight="1">
      <c r="A15" s="28" t="s">
        <v>63</v>
      </c>
      <c r="B15" s="215" t="s">
        <v>57</v>
      </c>
      <c r="C15" s="215"/>
      <c r="D15" s="215"/>
      <c r="E15" s="215"/>
      <c r="F15" s="215"/>
      <c r="G15" s="216"/>
      <c r="H15" s="29"/>
      <c r="I15" s="196"/>
      <c r="J15" s="196"/>
      <c r="K15" s="196"/>
      <c r="L15" s="196"/>
      <c r="M15" s="196"/>
      <c r="N15" s="196"/>
      <c r="O15" s="196"/>
      <c r="P15" s="196"/>
      <c r="Q15" s="196"/>
      <c r="R15" s="196"/>
      <c r="S15" s="196"/>
      <c r="T15" s="196"/>
      <c r="U15" s="197"/>
      <c r="V15" s="140"/>
      <c r="W15" s="141"/>
      <c r="X15" s="140"/>
      <c r="Y15" s="141"/>
      <c r="Z15" s="140"/>
      <c r="AA15" s="141"/>
      <c r="AB15" s="140"/>
      <c r="AC15" s="141"/>
      <c r="AD15" s="32"/>
      <c r="AE15" s="33"/>
      <c r="AF15" s="33"/>
      <c r="AG15" s="33"/>
      <c r="AH15" s="33"/>
      <c r="AI15" s="30"/>
      <c r="AK15" s="1"/>
      <c r="AL15" s="1"/>
      <c r="AM15" s="1"/>
    </row>
    <row r="16" spans="1:179" ht="24.9" customHeight="1">
      <c r="A16" s="31"/>
      <c r="B16" s="29"/>
      <c r="C16" s="29"/>
      <c r="D16" s="29"/>
      <c r="E16" s="29"/>
      <c r="F16" s="29"/>
      <c r="G16" s="30"/>
      <c r="H16" s="29"/>
      <c r="I16" s="196"/>
      <c r="J16" s="196"/>
      <c r="K16" s="196"/>
      <c r="L16" s="196"/>
      <c r="M16" s="196"/>
      <c r="N16" s="196"/>
      <c r="O16" s="196"/>
      <c r="P16" s="196"/>
      <c r="Q16" s="196"/>
      <c r="R16" s="196"/>
      <c r="S16" s="196"/>
      <c r="T16" s="196"/>
      <c r="U16" s="197"/>
      <c r="V16" s="132"/>
      <c r="W16" s="133"/>
      <c r="X16" s="132"/>
      <c r="Y16" s="133"/>
      <c r="Z16" s="132"/>
      <c r="AA16" s="133"/>
      <c r="AB16" s="132"/>
      <c r="AC16" s="133"/>
      <c r="AD16" s="32"/>
      <c r="AE16" s="33"/>
      <c r="AF16" s="33"/>
      <c r="AG16" s="33"/>
      <c r="AH16" s="33"/>
      <c r="AI16" s="30"/>
      <c r="AK16" s="1"/>
      <c r="AL16" s="1"/>
      <c r="AM16" s="1"/>
    </row>
    <row r="17" spans="1:39" ht="24.9" customHeight="1">
      <c r="A17" s="31"/>
      <c r="B17" s="29"/>
      <c r="C17" s="29"/>
      <c r="D17" s="29"/>
      <c r="E17" s="29"/>
      <c r="F17" s="29"/>
      <c r="G17" s="30"/>
      <c r="H17" s="29"/>
      <c r="I17" s="196"/>
      <c r="J17" s="196"/>
      <c r="K17" s="196"/>
      <c r="L17" s="196"/>
      <c r="M17" s="196"/>
      <c r="N17" s="196"/>
      <c r="O17" s="196"/>
      <c r="P17" s="196"/>
      <c r="Q17" s="196"/>
      <c r="R17" s="196"/>
      <c r="S17" s="196"/>
      <c r="T17" s="196"/>
      <c r="U17" s="197"/>
      <c r="V17" s="132"/>
      <c r="W17" s="133"/>
      <c r="X17" s="132"/>
      <c r="Y17" s="133"/>
      <c r="Z17" s="132"/>
      <c r="AA17" s="133"/>
      <c r="AB17" s="132"/>
      <c r="AC17" s="133"/>
      <c r="AD17" s="32"/>
      <c r="AE17" s="33"/>
      <c r="AF17" s="33"/>
      <c r="AG17" s="33"/>
      <c r="AH17" s="33"/>
      <c r="AI17" s="30"/>
      <c r="AK17" s="1"/>
      <c r="AL17" s="1"/>
      <c r="AM17" s="1"/>
    </row>
    <row r="18" spans="1:39" ht="24.9" customHeight="1">
      <c r="A18" s="31"/>
      <c r="B18" s="29"/>
      <c r="C18" s="29"/>
      <c r="D18" s="29"/>
      <c r="E18" s="29"/>
      <c r="F18" s="29"/>
      <c r="G18" s="30"/>
      <c r="H18" s="29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7"/>
      <c r="V18" s="128"/>
      <c r="W18" s="137"/>
      <c r="X18" s="137"/>
      <c r="Y18" s="129"/>
      <c r="Z18" s="128"/>
      <c r="AA18" s="137"/>
      <c r="AB18" s="137"/>
      <c r="AC18" s="129"/>
      <c r="AD18" s="32"/>
      <c r="AE18" s="33"/>
      <c r="AF18" s="33"/>
      <c r="AG18" s="33"/>
      <c r="AH18" s="33"/>
      <c r="AI18" s="30"/>
      <c r="AK18" s="1"/>
      <c r="AL18" s="1"/>
      <c r="AM18" s="1"/>
    </row>
    <row r="19" spans="1:39" ht="12.75" customHeight="1">
      <c r="V19" s="96"/>
      <c r="W19" s="96"/>
      <c r="X19" s="96"/>
      <c r="Y19" s="96"/>
      <c r="Z19" s="96"/>
      <c r="AA19" s="96"/>
      <c r="AB19" s="96"/>
      <c r="AC19" s="96"/>
    </row>
    <row r="20" spans="1:39" ht="12.75" customHeight="1">
      <c r="V20" s="96"/>
      <c r="W20" s="96"/>
      <c r="X20" s="96"/>
      <c r="Y20" s="96"/>
      <c r="Z20" s="96"/>
      <c r="AA20" s="96"/>
      <c r="AB20" s="96"/>
      <c r="AC20" s="96"/>
    </row>
    <row r="21" spans="1:39" ht="12.75" customHeight="1">
      <c r="V21" s="96"/>
      <c r="W21" s="96"/>
      <c r="X21" s="96"/>
      <c r="Y21" s="96"/>
      <c r="Z21" s="96"/>
      <c r="AA21" s="96"/>
      <c r="AB21" s="96"/>
      <c r="AC21" s="96"/>
    </row>
  </sheetData>
  <mergeCells count="31">
    <mergeCell ref="AD4:AF4"/>
    <mergeCell ref="V5:Y5"/>
    <mergeCell ref="Z5:AC5"/>
    <mergeCell ref="I8:U8"/>
    <mergeCell ref="I9:U9"/>
    <mergeCell ref="I18:U18"/>
    <mergeCell ref="A1:AI1"/>
    <mergeCell ref="A2:G2"/>
    <mergeCell ref="H2:N2"/>
    <mergeCell ref="AD2:AF2"/>
    <mergeCell ref="AG2:AI2"/>
    <mergeCell ref="I17:U17"/>
    <mergeCell ref="I16:U16"/>
    <mergeCell ref="I15:U15"/>
    <mergeCell ref="AD3:AF3"/>
    <mergeCell ref="AG3:AI3"/>
    <mergeCell ref="Z6:AA6"/>
    <mergeCell ref="AB6:AC6"/>
    <mergeCell ref="AG4:AI4"/>
    <mergeCell ref="A3:G4"/>
    <mergeCell ref="H3:N4"/>
    <mergeCell ref="B15:G15"/>
    <mergeCell ref="AD5:AI5"/>
    <mergeCell ref="X6:Y6"/>
    <mergeCell ref="I14:U14"/>
    <mergeCell ref="V6:W6"/>
    <mergeCell ref="I13:U13"/>
    <mergeCell ref="B11:G11"/>
    <mergeCell ref="I12:U12"/>
    <mergeCell ref="I11:U11"/>
    <mergeCell ref="I10:U10"/>
  </mergeCells>
  <phoneticPr fontId="3"/>
  <printOptions horizontalCentered="1"/>
  <pageMargins left="0.39370078740157483" right="0.39370078740157483" top="0.59055118110236227" bottom="0.39370078740157483" header="0.51181102362204722" footer="0.31496062992125984"/>
  <pageSetup paperSize="9" scale="88" fitToHeight="0" orientation="landscape" verticalDpi="300" r:id="rId1"/>
  <headerFooter alignWithMargins="0">
    <oddFooter>&amp;L&amp;F&amp;C&amp;P&amp;R&amp;A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FU44"/>
  <sheetViews>
    <sheetView zoomScaleNormal="80" zoomScaleSheetLayoutView="100" workbookViewId="0">
      <pane ySplit="5" topLeftCell="A6" activePane="bottomLeft" state="frozen"/>
      <selection activeCell="F6" sqref="F6"/>
      <selection pane="bottomLeft" activeCell="A9" sqref="A9"/>
    </sheetView>
  </sheetViews>
  <sheetFormatPr defaultColWidth="9" defaultRowHeight="12.75" customHeight="1"/>
  <cols>
    <col min="1" max="1" width="10.21875" style="1" bestFit="1" customWidth="1"/>
    <col min="2" max="5" width="4.109375" style="1" customWidth="1"/>
    <col min="6" max="7" width="4.109375" style="4" customWidth="1"/>
    <col min="8" max="34" width="4.109375" style="1" customWidth="1"/>
    <col min="35" max="37" width="4.109375" style="5" customWidth="1"/>
    <col min="38" max="41" width="4" style="1" customWidth="1"/>
    <col min="42" max="16384" width="9" style="1"/>
  </cols>
  <sheetData>
    <row r="1" spans="1:177" ht="12.75" customHeight="1">
      <c r="A1" s="220" t="s">
        <v>18</v>
      </c>
      <c r="B1" s="220"/>
      <c r="C1" s="220"/>
      <c r="D1" s="220"/>
      <c r="E1" s="220"/>
      <c r="F1" s="220"/>
      <c r="G1" s="220"/>
      <c r="H1" s="220"/>
      <c r="I1" s="220"/>
      <c r="J1" s="220"/>
      <c r="K1" s="220"/>
      <c r="L1" s="220"/>
      <c r="M1" s="220"/>
      <c r="N1" s="220"/>
      <c r="O1" s="220"/>
      <c r="P1" s="220"/>
      <c r="Q1" s="220"/>
      <c r="R1" s="220"/>
      <c r="S1" s="220"/>
      <c r="T1" s="220"/>
      <c r="U1" s="220"/>
      <c r="V1" s="220"/>
      <c r="W1" s="220"/>
      <c r="X1" s="220"/>
      <c r="Y1" s="220"/>
      <c r="Z1" s="220"/>
      <c r="AA1" s="220"/>
      <c r="AB1" s="220"/>
      <c r="AC1" s="220"/>
      <c r="AD1" s="220"/>
      <c r="AE1" s="220"/>
      <c r="AF1" s="220"/>
      <c r="AG1" s="220"/>
      <c r="AI1" s="1"/>
      <c r="AJ1" s="1"/>
      <c r="AK1" s="1"/>
    </row>
    <row r="2" spans="1:177" ht="12">
      <c r="A2" s="221" t="s">
        <v>0</v>
      </c>
      <c r="B2" s="222"/>
      <c r="C2" s="222"/>
      <c r="D2" s="222"/>
      <c r="E2" s="222"/>
      <c r="F2" s="222"/>
      <c r="G2" s="223"/>
      <c r="H2" s="221" t="s">
        <v>1</v>
      </c>
      <c r="I2" s="222"/>
      <c r="J2" s="222"/>
      <c r="K2" s="222"/>
      <c r="L2" s="222"/>
      <c r="M2" s="222"/>
      <c r="N2" s="223"/>
      <c r="O2" s="24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25"/>
      <c r="AD2" s="8" t="s">
        <v>2</v>
      </c>
      <c r="AE2" s="6"/>
      <c r="AF2" s="221" t="s">
        <v>4</v>
      </c>
      <c r="AG2" s="223"/>
      <c r="AI2" s="1"/>
      <c r="AJ2" s="1"/>
      <c r="AK2" s="1"/>
    </row>
    <row r="3" spans="1:177" ht="12">
      <c r="A3" s="245" t="s">
        <v>21</v>
      </c>
      <c r="B3" s="246"/>
      <c r="C3" s="246"/>
      <c r="D3" s="246"/>
      <c r="E3" s="246"/>
      <c r="F3" s="246"/>
      <c r="G3" s="247"/>
      <c r="H3" s="245" t="s">
        <v>22</v>
      </c>
      <c r="I3" s="246"/>
      <c r="J3" s="246"/>
      <c r="K3" s="246"/>
      <c r="L3" s="246"/>
      <c r="M3" s="246"/>
      <c r="N3" s="247"/>
      <c r="O3" s="18"/>
      <c r="P3" s="19"/>
      <c r="Q3" s="19"/>
      <c r="R3" s="19"/>
      <c r="S3" s="19"/>
      <c r="T3" s="19"/>
      <c r="U3" s="19"/>
      <c r="V3" s="19"/>
      <c r="W3" s="19"/>
      <c r="X3" s="19"/>
      <c r="Y3" s="19"/>
      <c r="Z3" s="19"/>
      <c r="AA3" s="19"/>
      <c r="AB3" s="19"/>
      <c r="AC3" s="20"/>
      <c r="AD3" s="254" t="e">
        <f>#REF!</f>
        <v>#REF!</v>
      </c>
      <c r="AE3" s="255"/>
      <c r="AF3" s="254" t="e">
        <f>#REF!</f>
        <v>#REF!</v>
      </c>
      <c r="AG3" s="255"/>
      <c r="AI3" s="1"/>
      <c r="AJ3" s="1"/>
      <c r="AK3" s="1"/>
    </row>
    <row r="4" spans="1:177" ht="12">
      <c r="A4" s="248"/>
      <c r="B4" s="249"/>
      <c r="C4" s="249"/>
      <c r="D4" s="249"/>
      <c r="E4" s="249"/>
      <c r="F4" s="249"/>
      <c r="G4" s="250"/>
      <c r="H4" s="248"/>
      <c r="I4" s="249"/>
      <c r="J4" s="249"/>
      <c r="K4" s="249"/>
      <c r="L4" s="249"/>
      <c r="M4" s="249"/>
      <c r="N4" s="250"/>
      <c r="O4" s="21"/>
      <c r="P4" s="22"/>
      <c r="Q4" s="22"/>
      <c r="R4" s="22"/>
      <c r="S4" s="22"/>
      <c r="T4" s="22"/>
      <c r="U4" s="22"/>
      <c r="V4" s="22"/>
      <c r="W4" s="22"/>
      <c r="X4" s="22"/>
      <c r="Y4" s="22"/>
      <c r="Z4" s="22"/>
      <c r="AA4" s="22"/>
      <c r="AB4" s="22"/>
      <c r="AC4" s="23"/>
      <c r="AD4" s="256"/>
      <c r="AE4" s="244"/>
      <c r="AF4" s="256"/>
      <c r="AG4" s="244"/>
      <c r="AI4" s="1"/>
      <c r="AJ4" s="1"/>
      <c r="AK4" s="1"/>
    </row>
    <row r="5" spans="1:177" s="3" customFormat="1" ht="12.75" customHeight="1">
      <c r="A5" s="9" t="s">
        <v>20</v>
      </c>
      <c r="B5" s="10" t="s">
        <v>5</v>
      </c>
      <c r="C5" s="10"/>
      <c r="D5" s="10"/>
      <c r="E5" s="10"/>
      <c r="F5" s="10"/>
      <c r="G5" s="11"/>
      <c r="H5" s="10" t="s">
        <v>9</v>
      </c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1"/>
      <c r="AC5" s="10" t="s">
        <v>6</v>
      </c>
      <c r="AD5" s="11"/>
      <c r="AE5" s="11" t="s">
        <v>10</v>
      </c>
      <c r="AF5" s="11"/>
      <c r="AG5" s="11" t="s">
        <v>3</v>
      </c>
      <c r="AH5" s="2"/>
      <c r="AI5" s="7"/>
      <c r="AJ5" s="7"/>
      <c r="AK5" s="7"/>
      <c r="AL5" s="7"/>
      <c r="AM5" s="7"/>
      <c r="AN5" s="7"/>
      <c r="AO5" s="7"/>
      <c r="AP5" s="7"/>
      <c r="AQ5" s="7"/>
      <c r="AR5" s="7"/>
      <c r="AS5" s="7"/>
      <c r="AT5" s="7"/>
      <c r="AU5" s="7"/>
      <c r="AV5" s="7"/>
      <c r="AW5" s="7"/>
      <c r="AX5" s="7"/>
      <c r="AY5" s="7"/>
      <c r="AZ5" s="7"/>
      <c r="BA5" s="7"/>
      <c r="BB5" s="7"/>
      <c r="BC5" s="7"/>
      <c r="BD5" s="7"/>
      <c r="BE5" s="7"/>
      <c r="BF5" s="7"/>
      <c r="BG5" s="7"/>
      <c r="BH5" s="7"/>
      <c r="BI5" s="7"/>
      <c r="BJ5" s="7"/>
      <c r="BK5" s="7"/>
      <c r="BL5" s="7"/>
      <c r="BM5" s="7"/>
      <c r="BN5" s="7"/>
      <c r="BO5" s="7"/>
      <c r="BP5" s="7"/>
      <c r="BQ5" s="7"/>
      <c r="BR5" s="7"/>
      <c r="BS5" s="7"/>
      <c r="BT5" s="7"/>
      <c r="BU5" s="7"/>
      <c r="BV5" s="7"/>
      <c r="BW5" s="7"/>
      <c r="BX5" s="7"/>
      <c r="BY5" s="7"/>
      <c r="BZ5" s="7"/>
      <c r="CA5" s="7"/>
      <c r="CB5" s="7"/>
      <c r="CC5" s="7"/>
      <c r="CD5" s="7"/>
      <c r="CE5" s="7"/>
      <c r="CF5" s="7"/>
      <c r="CG5" s="7"/>
      <c r="CH5" s="7"/>
      <c r="CI5" s="7"/>
      <c r="CJ5" s="7"/>
      <c r="CK5" s="7"/>
      <c r="CL5" s="7"/>
      <c r="CM5" s="7"/>
      <c r="CN5" s="7"/>
      <c r="CO5" s="7"/>
      <c r="CP5" s="7"/>
      <c r="CQ5" s="7"/>
      <c r="CR5" s="7"/>
      <c r="CS5" s="7"/>
      <c r="CT5" s="7"/>
      <c r="CU5" s="7"/>
      <c r="CV5" s="7"/>
      <c r="CW5" s="7"/>
      <c r="CX5" s="7"/>
      <c r="CY5" s="7"/>
      <c r="CZ5" s="7"/>
      <c r="DA5" s="7"/>
      <c r="DB5" s="7"/>
      <c r="DC5" s="7"/>
      <c r="DD5" s="7"/>
      <c r="DE5" s="7"/>
      <c r="DF5" s="7"/>
      <c r="DG5" s="7"/>
      <c r="DH5" s="7"/>
      <c r="DI5" s="7"/>
      <c r="DJ5" s="7"/>
      <c r="DK5" s="7"/>
      <c r="DL5" s="7"/>
      <c r="DM5" s="7"/>
      <c r="DN5" s="7"/>
      <c r="DO5" s="7"/>
      <c r="DP5" s="7"/>
      <c r="DQ5" s="7"/>
      <c r="DR5" s="7"/>
      <c r="DS5" s="7"/>
      <c r="DT5" s="7"/>
      <c r="DU5" s="7"/>
      <c r="DV5" s="7"/>
      <c r="DW5" s="7"/>
      <c r="DX5" s="7"/>
      <c r="DY5" s="7"/>
      <c r="DZ5" s="7"/>
      <c r="EA5" s="7"/>
      <c r="EB5" s="7"/>
      <c r="EC5" s="7"/>
      <c r="ED5" s="7"/>
      <c r="EE5" s="7"/>
      <c r="EF5" s="7"/>
      <c r="EG5" s="7"/>
      <c r="EH5" s="7"/>
      <c r="EI5" s="7"/>
      <c r="EJ5" s="7"/>
      <c r="EK5" s="7"/>
      <c r="EL5" s="7"/>
      <c r="EM5" s="7"/>
      <c r="EN5" s="7"/>
      <c r="EO5" s="7"/>
      <c r="EP5" s="7"/>
      <c r="EQ5" s="7"/>
      <c r="ER5" s="7"/>
      <c r="ES5" s="7"/>
      <c r="ET5" s="7"/>
      <c r="EU5" s="7"/>
      <c r="EV5" s="7"/>
      <c r="EW5" s="7"/>
      <c r="EX5" s="7"/>
      <c r="EY5" s="7"/>
      <c r="EZ5" s="7"/>
      <c r="FA5" s="7"/>
      <c r="FB5" s="7"/>
      <c r="FC5" s="7"/>
      <c r="FD5" s="7"/>
      <c r="FE5" s="7"/>
      <c r="FF5" s="7"/>
      <c r="FG5" s="7"/>
      <c r="FH5" s="7"/>
      <c r="FI5" s="7"/>
      <c r="FJ5" s="7"/>
      <c r="FK5" s="7"/>
      <c r="FL5" s="7"/>
      <c r="FM5" s="7"/>
      <c r="FN5" s="7"/>
      <c r="FO5" s="7"/>
      <c r="FP5" s="7"/>
      <c r="FQ5" s="7"/>
      <c r="FR5" s="7"/>
      <c r="FS5" s="7"/>
      <c r="FT5" s="7"/>
      <c r="FU5" s="7"/>
    </row>
    <row r="6" spans="1:177" ht="12.75" customHeight="1">
      <c r="A6" s="26" t="s">
        <v>23</v>
      </c>
      <c r="B6" s="12" t="s">
        <v>19</v>
      </c>
      <c r="C6" s="12"/>
      <c r="D6" s="12"/>
      <c r="E6" s="12"/>
      <c r="F6" s="12"/>
      <c r="G6" s="13"/>
      <c r="H6" s="12" t="s">
        <v>8</v>
      </c>
      <c r="I6" s="12"/>
      <c r="J6" s="12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3"/>
      <c r="AC6" s="15" t="s">
        <v>7</v>
      </c>
      <c r="AD6" s="16"/>
      <c r="AE6" s="17"/>
      <c r="AF6" s="16"/>
      <c r="AG6" s="13"/>
      <c r="AI6" s="1"/>
      <c r="AJ6" s="1"/>
      <c r="AK6" s="1"/>
    </row>
    <row r="7" spans="1:177" ht="12.75" customHeight="1">
      <c r="A7" s="26"/>
      <c r="B7" s="12"/>
      <c r="C7" s="12"/>
      <c r="D7" s="12"/>
      <c r="E7" s="12"/>
      <c r="F7" s="12"/>
      <c r="G7" s="13"/>
      <c r="H7" s="12" t="s">
        <v>11</v>
      </c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3"/>
      <c r="AC7" s="15"/>
      <c r="AD7" s="16"/>
      <c r="AE7" s="17"/>
      <c r="AF7" s="16"/>
      <c r="AG7" s="13"/>
      <c r="AI7" s="1"/>
      <c r="AJ7" s="1"/>
      <c r="AK7" s="1"/>
    </row>
    <row r="8" spans="1:177" ht="12.75" customHeight="1">
      <c r="A8" s="26"/>
      <c r="B8" s="12"/>
      <c r="C8" s="12"/>
      <c r="D8" s="12"/>
      <c r="E8" s="12"/>
      <c r="F8" s="12"/>
      <c r="G8" s="13"/>
      <c r="H8" s="12" t="s">
        <v>12</v>
      </c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3"/>
      <c r="AC8" s="15"/>
      <c r="AD8" s="16"/>
      <c r="AE8" s="17"/>
      <c r="AF8" s="16"/>
      <c r="AG8" s="13"/>
      <c r="AI8" s="1"/>
      <c r="AJ8" s="1"/>
      <c r="AK8" s="1"/>
    </row>
    <row r="9" spans="1:177" ht="12.75" customHeight="1">
      <c r="A9" s="26"/>
      <c r="B9" s="12"/>
      <c r="C9" s="12"/>
      <c r="D9" s="12"/>
      <c r="E9" s="12"/>
      <c r="F9" s="12"/>
      <c r="G9" s="13"/>
      <c r="H9" s="12" t="s">
        <v>13</v>
      </c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3"/>
      <c r="AC9" s="15"/>
      <c r="AD9" s="16"/>
      <c r="AE9" s="17"/>
      <c r="AF9" s="16"/>
      <c r="AG9" s="13"/>
      <c r="AI9" s="1"/>
      <c r="AJ9" s="1"/>
      <c r="AK9" s="1"/>
    </row>
    <row r="10" spans="1:177" ht="12.75" customHeight="1">
      <c r="A10" s="26"/>
      <c r="B10" s="12"/>
      <c r="C10" s="12"/>
      <c r="D10" s="12"/>
      <c r="E10" s="12"/>
      <c r="F10" s="12"/>
      <c r="G10" s="13"/>
      <c r="H10" s="12" t="s">
        <v>14</v>
      </c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3"/>
      <c r="AC10" s="15"/>
      <c r="AD10" s="16"/>
      <c r="AE10" s="17"/>
      <c r="AF10" s="16"/>
      <c r="AG10" s="13"/>
      <c r="AI10" s="1"/>
      <c r="AJ10" s="1"/>
      <c r="AK10" s="1"/>
    </row>
    <row r="11" spans="1:177" ht="12.75" customHeight="1">
      <c r="A11" s="26"/>
      <c r="B11" s="12"/>
      <c r="C11" s="12"/>
      <c r="D11" s="12"/>
      <c r="E11" s="12"/>
      <c r="F11" s="12"/>
      <c r="G11" s="13"/>
      <c r="H11" s="12" t="s">
        <v>15</v>
      </c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3"/>
      <c r="AC11" s="15"/>
      <c r="AD11" s="16"/>
      <c r="AE11" s="17"/>
      <c r="AF11" s="16"/>
      <c r="AG11" s="13"/>
      <c r="AI11" s="1"/>
      <c r="AJ11" s="1"/>
      <c r="AK11" s="1"/>
    </row>
    <row r="12" spans="1:177" ht="12.75" customHeight="1">
      <c r="A12" s="26"/>
      <c r="B12" s="12"/>
      <c r="C12" s="12"/>
      <c r="D12" s="12"/>
      <c r="E12" s="12"/>
      <c r="F12" s="12"/>
      <c r="G12" s="13"/>
      <c r="H12" s="12" t="s">
        <v>16</v>
      </c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3"/>
      <c r="AC12" s="15"/>
      <c r="AD12" s="16"/>
      <c r="AE12" s="17"/>
      <c r="AF12" s="16"/>
      <c r="AG12" s="13"/>
      <c r="AI12" s="1"/>
      <c r="AJ12" s="1"/>
      <c r="AK12" s="1"/>
    </row>
    <row r="13" spans="1:177" ht="12.75" customHeight="1">
      <c r="A13" s="26"/>
      <c r="B13" s="12"/>
      <c r="C13" s="12"/>
      <c r="D13" s="12"/>
      <c r="E13" s="12"/>
      <c r="F13" s="12"/>
      <c r="G13" s="13"/>
      <c r="H13" s="12" t="s">
        <v>17</v>
      </c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3"/>
      <c r="AC13" s="15"/>
      <c r="AD13" s="16"/>
      <c r="AE13" s="17"/>
      <c r="AF13" s="16"/>
      <c r="AG13" s="13"/>
      <c r="AI13" s="1"/>
      <c r="AJ13" s="1"/>
      <c r="AK13" s="1"/>
    </row>
    <row r="14" spans="1:177" ht="12.75" customHeight="1">
      <c r="A14" s="26"/>
      <c r="B14" s="12"/>
      <c r="C14" s="12"/>
      <c r="D14" s="12"/>
      <c r="E14" s="12"/>
      <c r="F14" s="12"/>
      <c r="G14" s="13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3"/>
      <c r="AC14" s="15"/>
      <c r="AD14" s="16"/>
      <c r="AE14" s="17"/>
      <c r="AF14" s="16"/>
      <c r="AG14" s="13"/>
      <c r="AI14" s="1"/>
      <c r="AJ14" s="1"/>
      <c r="AK14" s="1"/>
    </row>
    <row r="15" spans="1:177" ht="12.75" customHeight="1">
      <c r="A15" s="26"/>
      <c r="B15" s="12"/>
      <c r="C15" s="12"/>
      <c r="D15" s="12"/>
      <c r="E15" s="12"/>
      <c r="F15" s="12"/>
      <c r="G15" s="13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3"/>
      <c r="AC15" s="15"/>
      <c r="AD15" s="16"/>
      <c r="AE15" s="17"/>
      <c r="AF15" s="16"/>
      <c r="AG15" s="13"/>
      <c r="AI15" s="1"/>
      <c r="AJ15" s="1"/>
      <c r="AK15" s="1"/>
    </row>
    <row r="16" spans="1:177" ht="12.75" customHeight="1">
      <c r="A16" s="26"/>
      <c r="B16" s="12"/>
      <c r="C16" s="12"/>
      <c r="D16" s="12"/>
      <c r="E16" s="12"/>
      <c r="F16" s="12"/>
      <c r="G16" s="13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3"/>
      <c r="AC16" s="15"/>
      <c r="AD16" s="16"/>
      <c r="AE16" s="17"/>
      <c r="AF16" s="16"/>
      <c r="AG16" s="13"/>
      <c r="AI16" s="1"/>
      <c r="AJ16" s="1"/>
      <c r="AK16" s="1"/>
    </row>
    <row r="17" spans="1:37" ht="12.75" customHeight="1">
      <c r="A17" s="17"/>
      <c r="B17" s="12"/>
      <c r="C17" s="12"/>
      <c r="D17" s="12"/>
      <c r="E17" s="12"/>
      <c r="F17" s="12"/>
      <c r="G17" s="13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3"/>
      <c r="AC17" s="15"/>
      <c r="AD17" s="16"/>
      <c r="AE17" s="17"/>
      <c r="AF17" s="16"/>
      <c r="AG17" s="13"/>
      <c r="AI17" s="1"/>
      <c r="AJ17" s="1"/>
      <c r="AK17" s="1"/>
    </row>
    <row r="18" spans="1:37" ht="12.75" customHeight="1">
      <c r="A18" s="17"/>
      <c r="B18" s="12"/>
      <c r="C18" s="12"/>
      <c r="D18" s="12"/>
      <c r="E18" s="12"/>
      <c r="F18" s="12"/>
      <c r="G18" s="13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3"/>
      <c r="AC18" s="15"/>
      <c r="AD18" s="16"/>
      <c r="AE18" s="17"/>
      <c r="AF18" s="16"/>
      <c r="AG18" s="13"/>
      <c r="AI18" s="1"/>
      <c r="AJ18" s="1"/>
      <c r="AK18" s="1"/>
    </row>
    <row r="19" spans="1:37" ht="12.75" customHeight="1">
      <c r="A19" s="17"/>
      <c r="B19" s="12"/>
      <c r="C19" s="12"/>
      <c r="D19" s="12"/>
      <c r="E19" s="12"/>
      <c r="F19" s="12"/>
      <c r="G19" s="13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3"/>
      <c r="AC19" s="15"/>
      <c r="AD19" s="16"/>
      <c r="AE19" s="17"/>
      <c r="AF19" s="16"/>
      <c r="AG19" s="13"/>
      <c r="AI19" s="1"/>
      <c r="AJ19" s="1"/>
      <c r="AK19" s="1"/>
    </row>
    <row r="20" spans="1:37" ht="12.75" customHeight="1">
      <c r="A20" s="17"/>
      <c r="B20" s="12"/>
      <c r="C20" s="12"/>
      <c r="D20" s="12"/>
      <c r="E20" s="12"/>
      <c r="F20" s="12"/>
      <c r="G20" s="13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3"/>
      <c r="AC20" s="15"/>
      <c r="AD20" s="16"/>
      <c r="AE20" s="17"/>
      <c r="AF20" s="16"/>
      <c r="AG20" s="13"/>
      <c r="AI20" s="1"/>
      <c r="AJ20" s="1"/>
      <c r="AK20" s="1"/>
    </row>
    <row r="21" spans="1:37" ht="12.75" customHeight="1">
      <c r="A21" s="17"/>
      <c r="B21" s="12"/>
      <c r="C21" s="12"/>
      <c r="D21" s="12"/>
      <c r="E21" s="12"/>
      <c r="F21" s="12"/>
      <c r="G21" s="13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3"/>
      <c r="AC21" s="15"/>
      <c r="AD21" s="16"/>
      <c r="AE21" s="17"/>
      <c r="AF21" s="16"/>
      <c r="AG21" s="13"/>
      <c r="AI21" s="1"/>
      <c r="AJ21" s="1"/>
      <c r="AK21" s="1"/>
    </row>
    <row r="22" spans="1:37" ht="12.75" customHeight="1">
      <c r="A22" s="17"/>
      <c r="B22" s="12"/>
      <c r="C22" s="12"/>
      <c r="D22" s="12"/>
      <c r="E22" s="12"/>
      <c r="F22" s="12"/>
      <c r="G22" s="13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3"/>
      <c r="AC22" s="15"/>
      <c r="AD22" s="16"/>
      <c r="AE22" s="17"/>
      <c r="AF22" s="16"/>
      <c r="AG22" s="13"/>
      <c r="AI22" s="1"/>
      <c r="AJ22" s="1"/>
      <c r="AK22" s="1"/>
    </row>
    <row r="23" spans="1:37" ht="12.75" customHeight="1">
      <c r="A23" s="17"/>
      <c r="B23" s="12"/>
      <c r="C23" s="12"/>
      <c r="D23" s="12"/>
      <c r="E23" s="12"/>
      <c r="F23" s="12"/>
      <c r="G23" s="13"/>
      <c r="H23" s="12"/>
      <c r="I23" s="12"/>
      <c r="J23" s="12"/>
      <c r="K23" s="12"/>
      <c r="L23" s="12"/>
      <c r="M23" s="12"/>
      <c r="N23" s="12"/>
      <c r="O23" s="12"/>
      <c r="P23" s="12"/>
      <c r="Q23" s="14"/>
      <c r="R23" s="12"/>
      <c r="S23" s="12"/>
      <c r="T23" s="12"/>
      <c r="U23" s="12"/>
      <c r="V23" s="12"/>
      <c r="W23" s="12"/>
      <c r="X23" s="12"/>
      <c r="Y23" s="14"/>
      <c r="Z23" s="12"/>
      <c r="AA23" s="12"/>
      <c r="AB23" s="13"/>
      <c r="AC23" s="15"/>
      <c r="AD23" s="16"/>
      <c r="AE23" s="17"/>
      <c r="AF23" s="16"/>
      <c r="AG23" s="13"/>
      <c r="AI23" s="1"/>
      <c r="AJ23" s="1"/>
      <c r="AK23" s="1"/>
    </row>
    <row r="24" spans="1:37" ht="12.75" customHeight="1">
      <c r="A24" s="17"/>
      <c r="B24" s="12"/>
      <c r="C24" s="12"/>
      <c r="D24" s="12"/>
      <c r="E24" s="12"/>
      <c r="F24" s="12"/>
      <c r="G24" s="13"/>
      <c r="H24" s="12"/>
      <c r="I24" s="12"/>
      <c r="J24" s="12"/>
      <c r="K24" s="12"/>
      <c r="L24" s="12"/>
      <c r="M24" s="12"/>
      <c r="N24" s="12"/>
      <c r="O24" s="12"/>
      <c r="P24" s="12"/>
      <c r="Q24" s="14"/>
      <c r="R24" s="12"/>
      <c r="S24" s="12"/>
      <c r="T24" s="12"/>
      <c r="U24" s="12"/>
      <c r="V24" s="12"/>
      <c r="W24" s="12"/>
      <c r="X24" s="12"/>
      <c r="Y24" s="14"/>
      <c r="Z24" s="12"/>
      <c r="AA24" s="12"/>
      <c r="AB24" s="13"/>
      <c r="AC24" s="15"/>
      <c r="AD24" s="16"/>
      <c r="AE24" s="17"/>
      <c r="AF24" s="16"/>
      <c r="AG24" s="13"/>
      <c r="AI24" s="1"/>
      <c r="AJ24" s="1"/>
      <c r="AK24" s="1"/>
    </row>
    <row r="25" spans="1:37" ht="12.75" customHeight="1">
      <c r="A25" s="17"/>
      <c r="B25" s="12"/>
      <c r="C25" s="12"/>
      <c r="D25" s="12"/>
      <c r="E25" s="12"/>
      <c r="F25" s="12"/>
      <c r="G25" s="13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3"/>
      <c r="AC25" s="15"/>
      <c r="AD25" s="16"/>
      <c r="AE25" s="17"/>
      <c r="AF25" s="16"/>
      <c r="AG25" s="13"/>
      <c r="AI25" s="1"/>
      <c r="AJ25" s="1"/>
      <c r="AK25" s="1"/>
    </row>
    <row r="26" spans="1:37" ht="12.75" customHeight="1">
      <c r="A26" s="17"/>
      <c r="B26" s="12"/>
      <c r="C26" s="12"/>
      <c r="D26" s="12"/>
      <c r="E26" s="12"/>
      <c r="F26" s="12"/>
      <c r="G26" s="13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3"/>
      <c r="AC26" s="15"/>
      <c r="AD26" s="16"/>
      <c r="AE26" s="17"/>
      <c r="AF26" s="16"/>
      <c r="AG26" s="13"/>
      <c r="AI26" s="1"/>
      <c r="AJ26" s="1"/>
      <c r="AK26" s="1"/>
    </row>
    <row r="27" spans="1:37" ht="12.75" customHeight="1">
      <c r="A27" s="17"/>
      <c r="B27" s="12"/>
      <c r="C27" s="12"/>
      <c r="D27" s="12"/>
      <c r="E27" s="12"/>
      <c r="F27" s="12"/>
      <c r="G27" s="13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3"/>
      <c r="AC27" s="15"/>
      <c r="AD27" s="16"/>
      <c r="AE27" s="17"/>
      <c r="AF27" s="16"/>
      <c r="AG27" s="13"/>
      <c r="AI27" s="1"/>
      <c r="AJ27" s="1"/>
      <c r="AK27" s="1"/>
    </row>
    <row r="28" spans="1:37" ht="12.75" customHeight="1">
      <c r="A28" s="17"/>
      <c r="B28" s="12"/>
      <c r="C28" s="12"/>
      <c r="D28" s="12"/>
      <c r="E28" s="12"/>
      <c r="F28" s="12"/>
      <c r="G28" s="13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3"/>
      <c r="AC28" s="15"/>
      <c r="AD28" s="16"/>
      <c r="AE28" s="17"/>
      <c r="AF28" s="16"/>
      <c r="AG28" s="13"/>
      <c r="AI28" s="1"/>
      <c r="AJ28" s="1"/>
      <c r="AK28" s="1"/>
    </row>
    <row r="29" spans="1:37" ht="12.75" customHeight="1">
      <c r="A29" s="17"/>
      <c r="B29" s="12"/>
      <c r="C29" s="12"/>
      <c r="D29" s="12"/>
      <c r="E29" s="12"/>
      <c r="F29" s="12"/>
      <c r="G29" s="13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3"/>
      <c r="AC29" s="15"/>
      <c r="AD29" s="16"/>
      <c r="AE29" s="17"/>
      <c r="AF29" s="16"/>
      <c r="AG29" s="13"/>
      <c r="AI29" s="1"/>
      <c r="AJ29" s="1"/>
      <c r="AK29" s="1"/>
    </row>
    <row r="30" spans="1:37" ht="12.75" customHeight="1">
      <c r="A30" s="17"/>
      <c r="B30" s="12"/>
      <c r="C30" s="12"/>
      <c r="D30" s="12"/>
      <c r="E30" s="12"/>
      <c r="F30" s="12"/>
      <c r="G30" s="13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3"/>
      <c r="AC30" s="15"/>
      <c r="AD30" s="16"/>
      <c r="AE30" s="17"/>
      <c r="AF30" s="16"/>
      <c r="AG30" s="13"/>
      <c r="AI30" s="1"/>
      <c r="AJ30" s="1"/>
      <c r="AK30" s="1"/>
    </row>
    <row r="31" spans="1:37" ht="12.75" customHeight="1">
      <c r="A31" s="17"/>
      <c r="B31" s="12"/>
      <c r="C31" s="12"/>
      <c r="D31" s="12"/>
      <c r="E31" s="12"/>
      <c r="F31" s="12"/>
      <c r="G31" s="13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3"/>
      <c r="AC31" s="15"/>
      <c r="AD31" s="16"/>
      <c r="AE31" s="17"/>
      <c r="AF31" s="16"/>
      <c r="AG31" s="13"/>
      <c r="AI31" s="1"/>
      <c r="AJ31" s="1"/>
      <c r="AK31" s="1"/>
    </row>
    <row r="32" spans="1:37" ht="12.75" customHeight="1">
      <c r="A32" s="17"/>
      <c r="B32" s="12"/>
      <c r="C32" s="12"/>
      <c r="D32" s="12"/>
      <c r="E32" s="12"/>
      <c r="F32" s="12"/>
      <c r="G32" s="13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3"/>
      <c r="AC32" s="15"/>
      <c r="AD32" s="16"/>
      <c r="AE32" s="17"/>
      <c r="AF32" s="16"/>
      <c r="AG32" s="13"/>
      <c r="AI32" s="1"/>
      <c r="AJ32" s="1"/>
      <c r="AK32" s="1"/>
    </row>
    <row r="33" spans="1:37" ht="12.75" customHeight="1">
      <c r="A33" s="17"/>
      <c r="B33" s="12"/>
      <c r="C33" s="12"/>
      <c r="D33" s="12"/>
      <c r="E33" s="12"/>
      <c r="F33" s="12"/>
      <c r="G33" s="13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3"/>
      <c r="AC33" s="15"/>
      <c r="AD33" s="16"/>
      <c r="AE33" s="17"/>
      <c r="AF33" s="16"/>
      <c r="AG33" s="13"/>
      <c r="AI33" s="1"/>
      <c r="AJ33" s="1"/>
      <c r="AK33" s="1"/>
    </row>
    <row r="34" spans="1:37" ht="12.75" customHeight="1">
      <c r="A34" s="17"/>
      <c r="B34" s="12"/>
      <c r="C34" s="12"/>
      <c r="D34" s="14"/>
      <c r="E34" s="12"/>
      <c r="F34" s="14"/>
      <c r="G34" s="13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3"/>
      <c r="AC34" s="15"/>
      <c r="AD34" s="16"/>
      <c r="AE34" s="17"/>
      <c r="AF34" s="16"/>
      <c r="AG34" s="13"/>
      <c r="AI34" s="1"/>
      <c r="AJ34" s="1"/>
      <c r="AK34" s="1"/>
    </row>
    <row r="35" spans="1:37" ht="12.75" customHeight="1">
      <c r="A35" s="17"/>
      <c r="B35" s="12"/>
      <c r="C35" s="12"/>
      <c r="D35" s="12"/>
      <c r="E35" s="12"/>
      <c r="F35" s="12"/>
      <c r="G35" s="13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3"/>
      <c r="AC35" s="15"/>
      <c r="AD35" s="16"/>
      <c r="AE35" s="17"/>
      <c r="AF35" s="16"/>
      <c r="AG35" s="13"/>
      <c r="AI35" s="1"/>
      <c r="AJ35" s="1"/>
      <c r="AK35" s="1"/>
    </row>
    <row r="36" spans="1:37" ht="12.75" customHeight="1">
      <c r="A36" s="17"/>
      <c r="B36" s="12"/>
      <c r="C36" s="12"/>
      <c r="D36" s="12"/>
      <c r="E36" s="12"/>
      <c r="F36" s="12"/>
      <c r="G36" s="13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3"/>
      <c r="AC36" s="15"/>
      <c r="AD36" s="16"/>
      <c r="AE36" s="17"/>
      <c r="AF36" s="16"/>
      <c r="AG36" s="13"/>
      <c r="AI36" s="1"/>
      <c r="AJ36" s="1"/>
      <c r="AK36" s="1"/>
    </row>
    <row r="37" spans="1:37" ht="12.75" customHeight="1">
      <c r="A37" s="17"/>
      <c r="B37" s="12"/>
      <c r="C37" s="12"/>
      <c r="D37" s="12"/>
      <c r="E37" s="12"/>
      <c r="F37" s="12"/>
      <c r="G37" s="13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3"/>
      <c r="AC37" s="15"/>
      <c r="AD37" s="16"/>
      <c r="AE37" s="17"/>
      <c r="AF37" s="16"/>
      <c r="AG37" s="13"/>
      <c r="AI37" s="1"/>
      <c r="AJ37" s="1"/>
      <c r="AK37" s="1"/>
    </row>
    <row r="38" spans="1:37" ht="12.75" customHeight="1">
      <c r="A38" s="17"/>
      <c r="B38" s="12"/>
      <c r="C38" s="12"/>
      <c r="D38" s="12"/>
      <c r="E38" s="12"/>
      <c r="F38" s="12"/>
      <c r="G38" s="13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3"/>
      <c r="AC38" s="15"/>
      <c r="AD38" s="16"/>
      <c r="AE38" s="17"/>
      <c r="AF38" s="16"/>
      <c r="AG38" s="13"/>
      <c r="AI38" s="1"/>
      <c r="AJ38" s="1"/>
      <c r="AK38" s="1"/>
    </row>
    <row r="39" spans="1:37" ht="12.75" customHeight="1">
      <c r="A39" s="17"/>
      <c r="B39" s="12"/>
      <c r="C39" s="12"/>
      <c r="D39" s="12"/>
      <c r="E39" s="12"/>
      <c r="F39" s="12"/>
      <c r="G39" s="13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3"/>
      <c r="AC39" s="15"/>
      <c r="AD39" s="16"/>
      <c r="AE39" s="17"/>
      <c r="AF39" s="16"/>
      <c r="AG39" s="13"/>
      <c r="AI39" s="1"/>
      <c r="AJ39" s="1"/>
      <c r="AK39" s="1"/>
    </row>
    <row r="40" spans="1:37" ht="12.75" customHeight="1">
      <c r="A40" s="17"/>
      <c r="B40" s="12"/>
      <c r="C40" s="12"/>
      <c r="D40" s="12"/>
      <c r="E40" s="12"/>
      <c r="F40" s="12"/>
      <c r="G40" s="13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3"/>
      <c r="AC40" s="15"/>
      <c r="AD40" s="16"/>
      <c r="AE40" s="17"/>
      <c r="AF40" s="16"/>
      <c r="AG40" s="13"/>
      <c r="AI40" s="1"/>
      <c r="AJ40" s="1"/>
      <c r="AK40" s="1"/>
    </row>
    <row r="41" spans="1:37" ht="12.75" customHeight="1">
      <c r="A41" s="17"/>
      <c r="B41" s="12"/>
      <c r="C41" s="12"/>
      <c r="D41" s="12"/>
      <c r="E41" s="12"/>
      <c r="F41" s="12"/>
      <c r="G41" s="13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3"/>
      <c r="AC41" s="15"/>
      <c r="AD41" s="16"/>
      <c r="AE41" s="17"/>
      <c r="AF41" s="16"/>
      <c r="AG41" s="13"/>
      <c r="AI41" s="1"/>
      <c r="AJ41" s="1"/>
      <c r="AK41" s="1"/>
    </row>
    <row r="42" spans="1:37" ht="12.75" customHeight="1">
      <c r="A42" s="17"/>
      <c r="B42" s="12"/>
      <c r="C42" s="12"/>
      <c r="D42" s="12"/>
      <c r="E42" s="12"/>
      <c r="F42" s="12"/>
      <c r="G42" s="13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3"/>
      <c r="AC42" s="15"/>
      <c r="AD42" s="16"/>
      <c r="AE42" s="17"/>
      <c r="AF42" s="16"/>
      <c r="AG42" s="13"/>
      <c r="AI42" s="1"/>
      <c r="AJ42" s="1"/>
      <c r="AK42" s="1"/>
    </row>
    <row r="43" spans="1:37" ht="12.75" customHeight="1">
      <c r="A43" s="17"/>
      <c r="B43" s="12"/>
      <c r="C43" s="12"/>
      <c r="D43" s="12"/>
      <c r="E43" s="12"/>
      <c r="F43" s="12"/>
      <c r="G43" s="13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3"/>
      <c r="AC43" s="15"/>
      <c r="AD43" s="16"/>
      <c r="AE43" s="17"/>
      <c r="AF43" s="16"/>
      <c r="AG43" s="13"/>
      <c r="AI43" s="1"/>
      <c r="AJ43" s="1"/>
      <c r="AK43" s="1"/>
    </row>
    <row r="44" spans="1:37" ht="12.75" customHeight="1">
      <c r="A44" s="17"/>
      <c r="B44" s="12"/>
      <c r="C44" s="12"/>
      <c r="D44" s="12"/>
      <c r="E44" s="12"/>
      <c r="F44" s="12"/>
      <c r="G44" s="13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3"/>
      <c r="AC44" s="15"/>
      <c r="AD44" s="16"/>
      <c r="AE44" s="17"/>
      <c r="AF44" s="16"/>
      <c r="AG44" s="13"/>
      <c r="AI44" s="1"/>
      <c r="AJ44" s="1"/>
      <c r="AK44" s="1"/>
    </row>
  </sheetData>
  <mergeCells count="8">
    <mergeCell ref="A1:AG1"/>
    <mergeCell ref="A2:G2"/>
    <mergeCell ref="H2:N2"/>
    <mergeCell ref="AF2:AG2"/>
    <mergeCell ref="A3:G4"/>
    <mergeCell ref="H3:N4"/>
    <mergeCell ref="AD3:AE4"/>
    <mergeCell ref="AF3:AG4"/>
  </mergeCells>
  <phoneticPr fontId="3"/>
  <printOptions horizontalCentered="1"/>
  <pageMargins left="0.39370078740157483" right="0.39370078740157483" top="0.59055118110236227" bottom="0.39370078740157483" header="0.51181102362204722" footer="0.31496062992125984"/>
  <pageSetup paperSize="9" orientation="landscape" horizontalDpi="300" verticalDpi="300" r:id="rId1"/>
  <headerFooter alignWithMargins="0">
    <oddFooter>&amp;LCopyright© 2005 System Integrator Corp.&amp;C&amp;P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pageSetUpPr fitToPage="1"/>
  </sheetPr>
  <dimension ref="B1:Q16"/>
  <sheetViews>
    <sheetView workbookViewId="0">
      <pane xSplit="5" ySplit="6" topLeftCell="F7" activePane="bottomRight" state="frozen"/>
      <selection pane="topRight" activeCell="F1" sqref="F1"/>
      <selection pane="bottomLeft" activeCell="A7" sqref="A7"/>
      <selection pane="bottomRight"/>
    </sheetView>
  </sheetViews>
  <sheetFormatPr defaultRowHeight="13.2"/>
  <cols>
    <col min="1" max="1" width="3.88671875" customWidth="1"/>
    <col min="2" max="2" width="2.88671875" bestFit="1" customWidth="1"/>
    <col min="4" max="4" width="49.33203125" bestFit="1" customWidth="1"/>
    <col min="5" max="5" width="11.6640625" hidden="1" customWidth="1"/>
  </cols>
  <sheetData>
    <row r="1" spans="2:17">
      <c r="C1" s="260" t="s">
        <v>0</v>
      </c>
      <c r="D1" s="260"/>
    </row>
    <row r="2" spans="2:17">
      <c r="C2" s="260" t="s">
        <v>91</v>
      </c>
      <c r="D2" s="260"/>
    </row>
    <row r="5" spans="2:17">
      <c r="B5" s="263" t="s">
        <v>88</v>
      </c>
      <c r="C5" s="261" t="s">
        <v>84</v>
      </c>
      <c r="D5" s="262" t="s">
        <v>85</v>
      </c>
      <c r="E5" s="153"/>
      <c r="F5" s="154" t="s">
        <v>92</v>
      </c>
      <c r="G5" s="154"/>
      <c r="H5" s="154"/>
      <c r="I5" s="154"/>
      <c r="J5" s="154"/>
      <c r="K5" s="154"/>
      <c r="L5" s="154"/>
      <c r="M5" s="154"/>
      <c r="N5" s="154"/>
      <c r="O5" s="154"/>
      <c r="P5" s="154"/>
      <c r="Q5" s="154"/>
    </row>
    <row r="6" spans="2:17" s="150" customFormat="1">
      <c r="B6" s="264"/>
      <c r="C6" s="261"/>
      <c r="D6" s="262"/>
      <c r="E6" s="151" t="s">
        <v>87</v>
      </c>
      <c r="F6" s="154" t="s">
        <v>93</v>
      </c>
      <c r="G6" s="154"/>
      <c r="H6" s="154"/>
      <c r="I6" s="154"/>
      <c r="J6" s="154"/>
      <c r="K6" s="154"/>
      <c r="L6" s="154"/>
      <c r="M6" s="154"/>
      <c r="N6" s="154"/>
      <c r="O6" s="154"/>
      <c r="P6" s="154"/>
      <c r="Q6" s="154"/>
    </row>
    <row r="7" spans="2:17" s="150" customFormat="1">
      <c r="B7" s="257" t="s">
        <v>86</v>
      </c>
      <c r="C7" s="148">
        <f ca="1">SUBTOTAL(3,D$7:D7)</f>
        <v>1</v>
      </c>
      <c r="D7" s="149" t="str">
        <f ca="1">帳票_処理状況照会!H3</f>
        <v>帳票_処理状況照会</v>
      </c>
      <c r="E7" s="152"/>
      <c r="F7" s="156" t="s">
        <v>90</v>
      </c>
      <c r="G7" s="156"/>
      <c r="H7" s="156"/>
      <c r="I7" s="155"/>
      <c r="J7" s="155"/>
      <c r="K7" s="155"/>
      <c r="L7" s="155"/>
      <c r="M7" s="155"/>
      <c r="N7" s="155"/>
      <c r="O7" s="155"/>
      <c r="P7" s="155"/>
      <c r="Q7" s="155"/>
    </row>
    <row r="8" spans="2:17" s="150" customFormat="1">
      <c r="B8" s="258"/>
      <c r="C8" s="148"/>
      <c r="D8" s="149"/>
      <c r="E8" s="152"/>
      <c r="F8" s="156"/>
      <c r="G8" s="156"/>
      <c r="H8" s="156"/>
      <c r="I8" s="155"/>
      <c r="J8" s="155"/>
      <c r="K8" s="155"/>
      <c r="L8" s="155"/>
      <c r="M8" s="155"/>
      <c r="N8" s="155"/>
      <c r="O8" s="155"/>
      <c r="P8" s="155"/>
      <c r="Q8" s="155"/>
    </row>
    <row r="9" spans="2:17" s="150" customFormat="1">
      <c r="B9" s="258"/>
      <c r="C9" s="148"/>
      <c r="D9" s="149"/>
      <c r="E9" s="152"/>
      <c r="F9" s="156"/>
      <c r="G9" s="155"/>
      <c r="H9" s="155"/>
      <c r="I9" s="155"/>
      <c r="J9" s="155"/>
      <c r="K9" s="155"/>
      <c r="L9" s="155"/>
      <c r="M9" s="155"/>
      <c r="N9" s="155"/>
      <c r="O9" s="155"/>
      <c r="P9" s="155"/>
      <c r="Q9" s="155"/>
    </row>
    <row r="10" spans="2:17" s="150" customFormat="1">
      <c r="B10" s="258"/>
      <c r="C10" s="148"/>
      <c r="D10" s="149"/>
      <c r="E10" s="152"/>
      <c r="F10" s="156"/>
      <c r="G10" s="155"/>
      <c r="H10" s="155"/>
      <c r="I10" s="155"/>
      <c r="J10" s="155"/>
      <c r="K10" s="155"/>
      <c r="L10" s="155"/>
      <c r="M10" s="155"/>
      <c r="N10" s="155"/>
      <c r="O10" s="155"/>
      <c r="P10" s="155"/>
      <c r="Q10" s="155"/>
    </row>
    <row r="11" spans="2:17" s="150" customFormat="1">
      <c r="B11" s="258"/>
      <c r="C11" s="148"/>
      <c r="D11" s="149"/>
      <c r="E11" s="152"/>
      <c r="F11" s="155"/>
      <c r="G11" s="155"/>
      <c r="H11" s="155"/>
      <c r="I11" s="155"/>
      <c r="J11" s="155"/>
      <c r="K11" s="155"/>
      <c r="L11" s="155"/>
      <c r="M11" s="155"/>
      <c r="N11" s="155"/>
      <c r="O11" s="155"/>
      <c r="P11" s="155"/>
      <c r="Q11" s="155"/>
    </row>
    <row r="12" spans="2:17" s="150" customFormat="1">
      <c r="B12" s="258"/>
      <c r="C12" s="148"/>
      <c r="D12" s="149"/>
      <c r="E12" s="152"/>
      <c r="F12" s="155"/>
      <c r="G12" s="155"/>
      <c r="H12" s="155"/>
      <c r="I12" s="155"/>
      <c r="J12" s="155"/>
      <c r="K12" s="155"/>
      <c r="L12" s="155"/>
      <c r="M12" s="155"/>
      <c r="N12" s="155"/>
      <c r="O12" s="155"/>
      <c r="P12" s="155"/>
      <c r="Q12" s="155"/>
    </row>
    <row r="13" spans="2:17" s="150" customFormat="1" ht="13.5" customHeight="1">
      <c r="B13" s="258"/>
      <c r="C13" s="148"/>
      <c r="D13" s="149"/>
      <c r="E13" s="152"/>
      <c r="F13" s="155"/>
      <c r="G13" s="155"/>
      <c r="H13" s="155"/>
      <c r="I13" s="155"/>
      <c r="J13" s="155"/>
      <c r="K13" s="155"/>
      <c r="L13" s="155"/>
      <c r="M13" s="155"/>
      <c r="N13" s="155"/>
      <c r="O13" s="155"/>
      <c r="P13" s="155"/>
      <c r="Q13" s="155"/>
    </row>
    <row r="14" spans="2:17" s="150" customFormat="1">
      <c r="B14" s="258"/>
      <c r="C14" s="148"/>
      <c r="D14" s="149"/>
      <c r="E14" s="152"/>
      <c r="F14" s="155"/>
      <c r="G14" s="155"/>
      <c r="H14" s="155"/>
      <c r="I14" s="155"/>
      <c r="J14" s="155"/>
      <c r="K14" s="155"/>
      <c r="L14" s="155"/>
      <c r="M14" s="155"/>
      <c r="N14" s="155"/>
      <c r="O14" s="155"/>
      <c r="P14" s="155"/>
      <c r="Q14" s="155"/>
    </row>
    <row r="15" spans="2:17" s="150" customFormat="1">
      <c r="B15" s="258"/>
      <c r="C15" s="148"/>
      <c r="D15" s="149"/>
      <c r="E15" s="152"/>
      <c r="F15" s="155"/>
      <c r="G15" s="155"/>
      <c r="H15" s="155"/>
      <c r="I15" s="155"/>
      <c r="J15" s="155"/>
      <c r="K15" s="155"/>
      <c r="L15" s="155"/>
      <c r="M15" s="155"/>
      <c r="N15" s="155"/>
      <c r="O15" s="155"/>
      <c r="P15" s="155"/>
      <c r="Q15" s="155"/>
    </row>
    <row r="16" spans="2:17" s="150" customFormat="1">
      <c r="B16" s="259"/>
      <c r="C16" s="148"/>
      <c r="D16" s="149"/>
      <c r="E16" s="152"/>
      <c r="F16" s="155"/>
      <c r="G16" s="155"/>
      <c r="H16" s="155"/>
      <c r="I16" s="155"/>
      <c r="J16" s="155"/>
      <c r="K16" s="155"/>
      <c r="L16" s="155"/>
      <c r="M16" s="155"/>
      <c r="N16" s="155"/>
      <c r="O16" s="155"/>
      <c r="P16" s="155"/>
      <c r="Q16" s="155"/>
    </row>
  </sheetData>
  <mergeCells count="6">
    <mergeCell ref="B7:B16"/>
    <mergeCell ref="C1:D1"/>
    <mergeCell ref="C2:D2"/>
    <mergeCell ref="C5:C6"/>
    <mergeCell ref="D5:D6"/>
    <mergeCell ref="B5:B6"/>
  </mergeCells>
  <phoneticPr fontId="3"/>
  <pageMargins left="0.70866141732283472" right="0.70866141732283472" top="0.74803149606299213" bottom="0.74803149606299213" header="0.31496062992125984" footer="0.31496062992125984"/>
  <pageSetup paperSize="9" scale="64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5</vt:i4>
      </vt:variant>
    </vt:vector>
  </HeadingPairs>
  <TitlesOfParts>
    <vt:vector size="11" baseType="lpstr">
      <vt:lpstr>変更履歴</vt:lpstr>
      <vt:lpstr>計画</vt:lpstr>
      <vt:lpstr>帳票_処理状況照会</vt:lpstr>
      <vt:lpstr>在庫 (2)</vt:lpstr>
      <vt:lpstr>サンプル</vt:lpstr>
      <vt:lpstr>テストシナリオ機能対応表</vt:lpstr>
      <vt:lpstr>帳票_処理状況照会!Print_Area</vt:lpstr>
      <vt:lpstr>サンプル!Print_Titles</vt:lpstr>
      <vt:lpstr>'在庫 (2)'!Print_Titles</vt:lpstr>
      <vt:lpstr>帳票_処理状況照会!Print_Titles</vt:lpstr>
      <vt:lpstr>変更履歴!Print_Titles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iwasaki</dc:creator>
  <cp:lastModifiedBy>劉　盛循</cp:lastModifiedBy>
  <cp:lastPrinted>2015-10-26T03:32:01Z</cp:lastPrinted>
  <dcterms:created xsi:type="dcterms:W3CDTF">2004-05-31T04:32:55Z</dcterms:created>
  <dcterms:modified xsi:type="dcterms:W3CDTF">2022-05-25T06:26:58Z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-1402496039</vt:i4>
  </property>
  <property fmtid="{D5CDD505-2E9C-101B-9397-08002B2CF9AE}" pid="3" name="_EmailSubject">
    <vt:lpwstr>差し替えの差し替え</vt:lpwstr>
  </property>
  <property fmtid="{D5CDD505-2E9C-101B-9397-08002B2CF9AE}" pid="4" name="_AuthorEmail">
    <vt:lpwstr>umeda@sint.co.jp</vt:lpwstr>
  </property>
  <property fmtid="{D5CDD505-2E9C-101B-9397-08002B2CF9AE}" pid="5" name="_AuthorEmailDisplayName">
    <vt:lpwstr>Umeda Hiroyuki</vt:lpwstr>
  </property>
  <property fmtid="{D5CDD505-2E9C-101B-9397-08002B2CF9AE}" pid="6" name="_ReviewingToolsShownOnce">
    <vt:lpwstr/>
  </property>
</Properties>
</file>